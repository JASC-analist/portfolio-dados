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a\Documents\Tutu\"/>
    </mc:Choice>
  </mc:AlternateContent>
  <xr:revisionPtr revIDLastSave="0" documentId="13_ncr:1_{96638B97-3721-4663-A5F5-476EC2977965}" xr6:coauthVersionLast="47" xr6:coauthVersionMax="47" xr10:uidLastSave="{00000000-0000-0000-0000-000000000000}"/>
  <bookViews>
    <workbookView xWindow="-120" yWindow="-120" windowWidth="29040" windowHeight="16440" tabRatio="703" xr2:uid="{00000000-000D-0000-FFFF-FFFF00000000}"/>
  </bookViews>
  <sheets>
    <sheet name="Tabela de Conversão" sheetId="2" r:id="rId1"/>
    <sheet name="Comparação de Vendas" sheetId="5" r:id="rId2"/>
    <sheet name="Tropical Frutas" sheetId="3" r:id="rId3"/>
    <sheet name="COOPERATIVA" sheetId="6" r:id="rId4"/>
    <sheet name="RISCOS EM PROJETO" sheetId="7" r:id="rId5"/>
  </sheets>
  <definedNames>
    <definedName name="qtde">'Comparação de Vendas'!$C$10:$C$14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7" l="1"/>
  <c r="H6" i="7"/>
  <c r="H7" i="7"/>
  <c r="H8" i="7"/>
  <c r="H5" i="7"/>
  <c r="D9" i="7"/>
  <c r="G9" i="7" s="1"/>
  <c r="E9" i="7"/>
  <c r="F9" i="7"/>
  <c r="G5" i="7"/>
  <c r="G6" i="7"/>
  <c r="G7" i="7"/>
  <c r="G8" i="7"/>
  <c r="E5" i="7"/>
  <c r="F5" i="7"/>
  <c r="E6" i="7"/>
  <c r="F6" i="7"/>
  <c r="E7" i="7"/>
  <c r="F7" i="7"/>
  <c r="E8" i="7"/>
  <c r="F8" i="7"/>
  <c r="D6" i="7"/>
  <c r="D7" i="7"/>
  <c r="D8" i="7"/>
  <c r="D5" i="7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E7" i="3"/>
  <c r="E8" i="3"/>
  <c r="E9" i="3"/>
  <c r="E10" i="3"/>
  <c r="E11" i="3"/>
  <c r="E12" i="3"/>
  <c r="E13" i="3"/>
  <c r="E14" i="3"/>
  <c r="E15" i="3"/>
  <c r="E16" i="3"/>
  <c r="D9" i="5"/>
  <c r="F9" i="5"/>
  <c r="F11" i="5"/>
  <c r="F10" i="5"/>
  <c r="F12" i="5"/>
  <c r="F13" i="5"/>
  <c r="F14" i="5"/>
  <c r="F15" i="5"/>
  <c r="F16" i="5"/>
  <c r="F17" i="5"/>
  <c r="F18" i="5"/>
  <c r="F19" i="5"/>
  <c r="F20" i="5"/>
  <c r="D10" i="5"/>
  <c r="D11" i="5"/>
  <c r="D12" i="5"/>
  <c r="D13" i="5"/>
  <c r="D14" i="5"/>
  <c r="D15" i="5"/>
  <c r="D16" i="5"/>
  <c r="D17" i="5"/>
  <c r="D18" i="5"/>
  <c r="D19" i="5"/>
  <c r="D20" i="5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10" i="2"/>
  <c r="E18" i="3" l="1"/>
  <c r="C33" i="6"/>
</calcChain>
</file>

<file path=xl/sharedStrings.xml><?xml version="1.0" encoding="utf-8"?>
<sst xmlns="http://schemas.openxmlformats.org/spreadsheetml/2006/main" count="212" uniqueCount="166">
  <si>
    <t>Tabela de Preços</t>
  </si>
  <si>
    <t>Veículos Importados Novos</t>
  </si>
  <si>
    <t>Data:</t>
  </si>
  <si>
    <t>Marca</t>
  </si>
  <si>
    <t>Modelo</t>
  </si>
  <si>
    <t>Preço em US$</t>
  </si>
  <si>
    <t>Preço em Real</t>
  </si>
  <si>
    <t>Toyota</t>
  </si>
  <si>
    <t>Hyundai</t>
  </si>
  <si>
    <t>Accent GLS</t>
  </si>
  <si>
    <t>Mazda</t>
  </si>
  <si>
    <t>Chrysler</t>
  </si>
  <si>
    <t>Cherokee</t>
  </si>
  <si>
    <t>Mercedes</t>
  </si>
  <si>
    <t>C280</t>
  </si>
  <si>
    <t>BMW</t>
  </si>
  <si>
    <t>735i</t>
  </si>
  <si>
    <t>Tropical Frutas</t>
  </si>
  <si>
    <t>Dólar:</t>
  </si>
  <si>
    <t>Fruta</t>
  </si>
  <si>
    <t>Destino</t>
  </si>
  <si>
    <t>Peso</t>
  </si>
  <si>
    <t>Preço por Quilo</t>
  </si>
  <si>
    <t>Abacaxi</t>
  </si>
  <si>
    <t>Canadá</t>
  </si>
  <si>
    <t>Banana</t>
  </si>
  <si>
    <t>Japão</t>
  </si>
  <si>
    <t>Melão</t>
  </si>
  <si>
    <t>França</t>
  </si>
  <si>
    <t>Uva</t>
  </si>
  <si>
    <t>Polônia</t>
  </si>
  <si>
    <t>Amora</t>
  </si>
  <si>
    <t>Inglaterra</t>
  </si>
  <si>
    <t>Morango</t>
  </si>
  <si>
    <t>Portugal</t>
  </si>
  <si>
    <t>Laranja</t>
  </si>
  <si>
    <t>Estados Unidos</t>
  </si>
  <si>
    <t>Tangerina</t>
  </si>
  <si>
    <t>Goiaba</t>
  </si>
  <si>
    <t>Abacate</t>
  </si>
  <si>
    <t>Itália</t>
  </si>
  <si>
    <t>Produto:</t>
  </si>
  <si>
    <t>Brinquedos</t>
  </si>
  <si>
    <t>Ano</t>
  </si>
  <si>
    <t>Produto Importado</t>
  </si>
  <si>
    <t>Produto Nacional</t>
  </si>
  <si>
    <t>Qtde.</t>
  </si>
  <si>
    <t>Valor</t>
  </si>
  <si>
    <t>1º Trim</t>
  </si>
  <si>
    <t>Janeiro</t>
  </si>
  <si>
    <t>Fevereiro</t>
  </si>
  <si>
    <t>Março</t>
  </si>
  <si>
    <t>2º Trim</t>
  </si>
  <si>
    <t>Abril</t>
  </si>
  <si>
    <t>Maio</t>
  </si>
  <si>
    <t>Junho</t>
  </si>
  <si>
    <t>3º Trim</t>
  </si>
  <si>
    <t>Julho</t>
  </si>
  <si>
    <t>Agosto</t>
  </si>
  <si>
    <t>Setembro</t>
  </si>
  <si>
    <t>4º Trim</t>
  </si>
  <si>
    <t>Outubro</t>
  </si>
  <si>
    <t>Novembro</t>
  </si>
  <si>
    <t>Dezembro</t>
  </si>
  <si>
    <t>Valor do Dólar:</t>
  </si>
  <si>
    <t>VENDAS 1</t>
  </si>
  <si>
    <t>VENDAS 2</t>
  </si>
  <si>
    <t>VENDAS 3</t>
  </si>
  <si>
    <t>Cotas</t>
  </si>
  <si>
    <t>TOTAL</t>
  </si>
  <si>
    <t>COOPERATIVA XYZ</t>
  </si>
  <si>
    <t>Especializada na exportação de produtos perecíveis</t>
  </si>
  <si>
    <t>Calculo de Riscos de Projetos</t>
  </si>
  <si>
    <t>Status da Tarefa/Prioridade</t>
  </si>
  <si>
    <t>Alto</t>
  </si>
  <si>
    <t>Médio</t>
  </si>
  <si>
    <t>Baixo</t>
  </si>
  <si>
    <t>Total</t>
  </si>
  <si>
    <t>% do Total</t>
  </si>
  <si>
    <t>Fechado</t>
  </si>
  <si>
    <t>Em progresso</t>
  </si>
  <si>
    <t>Atrasado</t>
  </si>
  <si>
    <t>Não iniciado</t>
  </si>
  <si>
    <t>Nº</t>
  </si>
  <si>
    <t>Descrição da Tarefa</t>
  </si>
  <si>
    <t>Status</t>
  </si>
  <si>
    <t>Responsável</t>
  </si>
  <si>
    <t>Nível de Risco</t>
  </si>
  <si>
    <t>Início</t>
  </si>
  <si>
    <t>Fim</t>
  </si>
  <si>
    <t>Qtd de Dias</t>
  </si>
  <si>
    <t>Contato com Parceiros</t>
  </si>
  <si>
    <t>João</t>
  </si>
  <si>
    <t>baixo</t>
  </si>
  <si>
    <t>Fazer Orçamento</t>
  </si>
  <si>
    <t>Não Iniciado</t>
  </si>
  <si>
    <t>Marta</t>
  </si>
  <si>
    <t>Compra de Material</t>
  </si>
  <si>
    <t>Juliana</t>
  </si>
  <si>
    <t>Aluguel de Equipamentos</t>
  </si>
  <si>
    <t>Joel</t>
  </si>
  <si>
    <t>Contratação de equipe</t>
  </si>
  <si>
    <t>Execução da Check-List</t>
  </si>
  <si>
    <t>em progresso</t>
  </si>
  <si>
    <t>outra ação</t>
  </si>
  <si>
    <t>Antonio</t>
  </si>
  <si>
    <t>alto</t>
  </si>
  <si>
    <t>outra ação...</t>
  </si>
  <si>
    <t>Fazer pagamento</t>
  </si>
  <si>
    <t>Chevrolet</t>
  </si>
  <si>
    <t>Volkswagen</t>
  </si>
  <si>
    <t>Kia</t>
  </si>
  <si>
    <t>Nissan</t>
  </si>
  <si>
    <t>Ford</t>
  </si>
  <si>
    <t>Jeep</t>
  </si>
  <si>
    <t>Spark</t>
  </si>
  <si>
    <t>Jetta</t>
  </si>
  <si>
    <t>Soul</t>
  </si>
  <si>
    <t>Sentra</t>
  </si>
  <si>
    <t>Maverick</t>
  </si>
  <si>
    <t>Trailblazer</t>
  </si>
  <si>
    <t>Ioniq</t>
  </si>
  <si>
    <t>Compass</t>
  </si>
  <si>
    <t>Mustang Mach 1</t>
  </si>
  <si>
    <t>Corolla Hatch</t>
  </si>
  <si>
    <t>Fiat</t>
  </si>
  <si>
    <t>124 Spider</t>
  </si>
  <si>
    <t>Golf</t>
  </si>
  <si>
    <t>Fiesta</t>
  </si>
  <si>
    <t>Mustang</t>
  </si>
  <si>
    <t>Malibu</t>
  </si>
  <si>
    <t>Camaro</t>
  </si>
  <si>
    <t>Explorer</t>
  </si>
  <si>
    <t>Preço do Importado</t>
  </si>
  <si>
    <t>Preço do Nacional</t>
  </si>
  <si>
    <t>(-) Desconto</t>
  </si>
  <si>
    <t>(+) Imposto</t>
  </si>
  <si>
    <t>Preço de Venda</t>
  </si>
  <si>
    <t>Composição do Preço de Vendas</t>
  </si>
  <si>
    <t>PreçoTotal em Dólar</t>
  </si>
  <si>
    <t>(+) Frete:</t>
  </si>
  <si>
    <t>(+) Imposto:</t>
  </si>
  <si>
    <t>Total a Receber</t>
  </si>
  <si>
    <t>Biricutico</t>
  </si>
  <si>
    <t>Chico Virilha</t>
  </si>
  <si>
    <t>Celso bigorna</t>
  </si>
  <si>
    <t>Helinho Gastrite</t>
  </si>
  <si>
    <t>Pinduca</t>
  </si>
  <si>
    <t>Chapoca</t>
  </si>
  <si>
    <t>Manteiguinha</t>
  </si>
  <si>
    <t>Suvaco</t>
  </si>
  <si>
    <t>Catoinha</t>
  </si>
  <si>
    <t>Paulinho Gogó</t>
  </si>
  <si>
    <t>Zé da Mala</t>
  </si>
  <si>
    <t>Nego da Banca</t>
  </si>
  <si>
    <t>Chico Sem Freio</t>
  </si>
  <si>
    <t>Dudu do Pastel</t>
  </si>
  <si>
    <t>Juca Bala</t>
  </si>
  <si>
    <t>Betão Cabeça de Ovo</t>
  </si>
  <si>
    <t>Zeca Pé de Chinelo</t>
  </si>
  <si>
    <t>Bigode de Ouro</t>
  </si>
  <si>
    <t>Naldo Trambique</t>
  </si>
  <si>
    <t>Toin do Pneu</t>
  </si>
  <si>
    <t>Taxa de Embarque</t>
  </si>
  <si>
    <t>Coluna1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</si>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</sst>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dd/mm/yy;@"/>
    <numFmt numFmtId="165" formatCode="00"/>
    <numFmt numFmtId="166" formatCode="d/m/yy;@"/>
    <numFmt numFmtId="167" formatCode="_-[$R$-416]\ * #,##0.00_-;\-[$R$-416]\ * #,##0.00_-;_-[$R$-416]\ * &quot;-&quot;??_-;_-@_-"/>
    <numFmt numFmtId="168" formatCode="_-[$$-409]* #,##0.00_ ;_-[$$-409]* \-#,##0.00\ ;_-[$$-409]* &quot;-&quot;??_ ;_-@_ "/>
  </numFmts>
  <fonts count="2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8"/>
      <color theme="4" tint="-0.49998474074526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sz val="27"/>
      <color rgb="FF202124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0"/>
      <color theme="3"/>
      <name val="Arial"/>
      <family val="2"/>
    </font>
    <font>
      <sz val="10"/>
      <color theme="1"/>
      <name val="Arial"/>
      <family val="2"/>
    </font>
    <font>
      <b/>
      <sz val="20"/>
      <color theme="0"/>
      <name val="Arial"/>
      <family val="2"/>
    </font>
    <font>
      <b/>
      <sz val="10"/>
      <color theme="1" tint="4.9989318521683403E-2"/>
      <name val="Arial"/>
      <family val="2"/>
    </font>
    <font>
      <sz val="10"/>
      <color theme="4" tint="0.79998168889431442"/>
      <name val="Arial"/>
      <family val="2"/>
    </font>
    <font>
      <sz val="10"/>
      <color theme="1" tint="4.9989318521683403E-2"/>
      <name val="Arial"/>
      <family val="2"/>
    </font>
    <font>
      <b/>
      <i/>
      <sz val="20"/>
      <color theme="0"/>
      <name val="Arial"/>
      <family val="2"/>
    </font>
    <font>
      <i/>
      <u/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rgb="FF0070C0"/>
      </top>
      <bottom style="thin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/>
      <top style="hair">
        <color rgb="FF0070C0"/>
      </top>
      <bottom style="thin">
        <color rgb="FF007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04">
    <xf numFmtId="0" fontId="0" fillId="0" borderId="0" xfId="0"/>
    <xf numFmtId="14" fontId="0" fillId="0" borderId="0" xfId="0" applyNumberFormat="1"/>
    <xf numFmtId="0" fontId="1" fillId="0" borderId="0" xfId="0" applyFont="1"/>
    <xf numFmtId="9" fontId="0" fillId="0" borderId="0" xfId="1" applyFont="1" applyAlignment="1">
      <alignment horizontal="center"/>
    </xf>
    <xf numFmtId="0" fontId="4" fillId="0" borderId="0" xfId="2" applyFont="1" applyAlignment="1">
      <alignment vertical="center"/>
    </xf>
    <xf numFmtId="0" fontId="3" fillId="0" borderId="0" xfId="2"/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5" fillId="2" borderId="0" xfId="2" applyFont="1" applyFill="1" applyAlignment="1">
      <alignment horizontal="center"/>
    </xf>
    <xf numFmtId="9" fontId="0" fillId="0" borderId="0" xfId="3" applyFont="1"/>
    <xf numFmtId="0" fontId="5" fillId="2" borderId="3" xfId="2" applyFont="1" applyFill="1" applyBorder="1" applyAlignment="1">
      <alignment vertical="top"/>
    </xf>
    <xf numFmtId="9" fontId="5" fillId="2" borderId="3" xfId="2" applyNumberFormat="1" applyFont="1" applyFill="1" applyBorder="1" applyAlignment="1">
      <alignment vertical="top"/>
    </xf>
    <xf numFmtId="0" fontId="7" fillId="2" borderId="3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165" fontId="3" fillId="3" borderId="1" xfId="2" applyNumberFormat="1" applyFill="1" applyBorder="1" applyAlignment="1">
      <alignment horizontal="center"/>
    </xf>
    <xf numFmtId="0" fontId="3" fillId="3" borderId="1" xfId="2" applyFill="1" applyBorder="1"/>
    <xf numFmtId="0" fontId="3" fillId="3" borderId="2" xfId="2" applyFill="1" applyBorder="1"/>
    <xf numFmtId="14" fontId="3" fillId="3" borderId="2" xfId="2" applyNumberFormat="1" applyFill="1" applyBorder="1" applyAlignment="1">
      <alignment horizontal="center"/>
    </xf>
    <xf numFmtId="0" fontId="3" fillId="3" borderId="2" xfId="2" applyFill="1" applyBorder="1" applyAlignment="1">
      <alignment horizontal="center"/>
    </xf>
    <xf numFmtId="165" fontId="3" fillId="3" borderId="2" xfId="2" applyNumberFormat="1" applyFill="1" applyBorder="1" applyAlignment="1">
      <alignment horizontal="center"/>
    </xf>
    <xf numFmtId="0" fontId="3" fillId="3" borderId="5" xfId="2" applyFill="1" applyBorder="1"/>
    <xf numFmtId="164" fontId="3" fillId="3" borderId="2" xfId="2" applyNumberFormat="1" applyFill="1" applyBorder="1" applyAlignment="1">
      <alignment horizontal="center"/>
    </xf>
    <xf numFmtId="166" fontId="3" fillId="3" borderId="2" xfId="2" applyNumberFormat="1" applyFill="1" applyBorder="1" applyAlignment="1">
      <alignment horizontal="center"/>
    </xf>
    <xf numFmtId="0" fontId="3" fillId="3" borderId="6" xfId="2" applyFill="1" applyBorder="1"/>
    <xf numFmtId="164" fontId="3" fillId="3" borderId="6" xfId="2" applyNumberFormat="1" applyFill="1" applyBorder="1" applyAlignment="1">
      <alignment horizontal="center"/>
    </xf>
    <xf numFmtId="0" fontId="3" fillId="3" borderId="6" xfId="2" applyFill="1" applyBorder="1" applyAlignment="1">
      <alignment horizontal="center"/>
    </xf>
    <xf numFmtId="44" fontId="0" fillId="0" borderId="0" xfId="4" applyFont="1"/>
    <xf numFmtId="44" fontId="0" fillId="0" borderId="0" xfId="0" applyNumberFormat="1"/>
    <xf numFmtId="44" fontId="1" fillId="0" borderId="0" xfId="4" applyFont="1"/>
    <xf numFmtId="168" fontId="0" fillId="0" borderId="0" xfId="0" applyNumberFormat="1"/>
    <xf numFmtId="0" fontId="10" fillId="0" borderId="7" xfId="0" applyFont="1" applyBorder="1"/>
    <xf numFmtId="0" fontId="1" fillId="8" borderId="7" xfId="0" applyFont="1" applyFill="1" applyBorder="1"/>
    <xf numFmtId="44" fontId="12" fillId="9" borderId="8" xfId="4" applyFont="1" applyFill="1" applyBorder="1"/>
    <xf numFmtId="44" fontId="12" fillId="4" borderId="9" xfId="4" applyFont="1" applyFill="1" applyBorder="1"/>
    <xf numFmtId="44" fontId="12" fillId="10" borderId="10" xfId="4" applyFont="1" applyFill="1" applyBorder="1"/>
    <xf numFmtId="0" fontId="13" fillId="11" borderId="0" xfId="0" applyFont="1" applyFill="1"/>
    <xf numFmtId="0" fontId="13" fillId="0" borderId="0" xfId="0" applyFont="1"/>
    <xf numFmtId="164" fontId="13" fillId="6" borderId="13" xfId="0" applyNumberFormat="1" applyFont="1" applyFill="1" applyBorder="1"/>
    <xf numFmtId="0" fontId="13" fillId="11" borderId="13" xfId="0" applyFont="1" applyFill="1" applyBorder="1"/>
    <xf numFmtId="0" fontId="13" fillId="0" borderId="14" xfId="0" applyFont="1" applyBorder="1"/>
    <xf numFmtId="168" fontId="13" fillId="11" borderId="15" xfId="0" applyNumberFormat="1" applyFont="1" applyFill="1" applyBorder="1"/>
    <xf numFmtId="167" fontId="13" fillId="11" borderId="15" xfId="0" applyNumberFormat="1" applyFont="1" applyFill="1" applyBorder="1"/>
    <xf numFmtId="168" fontId="13" fillId="0" borderId="15" xfId="0" applyNumberFormat="1" applyFont="1" applyBorder="1"/>
    <xf numFmtId="167" fontId="13" fillId="0" borderId="15" xfId="0" applyNumberFormat="1" applyFont="1" applyBorder="1"/>
    <xf numFmtId="0" fontId="15" fillId="14" borderId="17" xfId="0" applyFont="1" applyFill="1" applyBorder="1" applyAlignment="1">
      <alignment horizontal="center"/>
    </xf>
    <xf numFmtId="0" fontId="15" fillId="14" borderId="18" xfId="0" applyFont="1" applyFill="1" applyBorder="1" applyAlignment="1">
      <alignment horizontal="center"/>
    </xf>
    <xf numFmtId="0" fontId="15" fillId="14" borderId="19" xfId="0" applyFont="1" applyFill="1" applyBorder="1" applyAlignment="1">
      <alignment horizontal="center"/>
    </xf>
    <xf numFmtId="0" fontId="15" fillId="14" borderId="20" xfId="0" applyFont="1" applyFill="1" applyBorder="1" applyAlignment="1">
      <alignment horizontal="center"/>
    </xf>
    <xf numFmtId="0" fontId="13" fillId="11" borderId="17" xfId="0" applyFont="1" applyFill="1" applyBorder="1"/>
    <xf numFmtId="0" fontId="13" fillId="0" borderId="17" xfId="0" applyFont="1" applyBorder="1"/>
    <xf numFmtId="0" fontId="13" fillId="11" borderId="15" xfId="0" applyFont="1" applyFill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5" borderId="12" xfId="0" applyFont="1" applyFill="1" applyBorder="1" applyAlignment="1">
      <alignment horizontal="right" vertical="center"/>
    </xf>
    <xf numFmtId="0" fontId="13" fillId="5" borderId="12" xfId="0" applyFont="1" applyFill="1" applyBorder="1" applyAlignment="1">
      <alignment horizontal="right"/>
    </xf>
    <xf numFmtId="0" fontId="13" fillId="15" borderId="12" xfId="0" applyFont="1" applyFill="1" applyBorder="1" applyAlignment="1">
      <alignment horizontal="right" vertical="center"/>
    </xf>
    <xf numFmtId="44" fontId="9" fillId="7" borderId="13" xfId="4" applyFont="1" applyFill="1" applyBorder="1" applyAlignment="1"/>
    <xf numFmtId="0" fontId="0" fillId="19" borderId="21" xfId="0" applyFill="1" applyBorder="1"/>
    <xf numFmtId="44" fontId="0" fillId="19" borderId="21" xfId="4" applyFont="1" applyFill="1" applyBorder="1"/>
    <xf numFmtId="0" fontId="0" fillId="6" borderId="21" xfId="0" applyFill="1" applyBorder="1"/>
    <xf numFmtId="44" fontId="0" fillId="6" borderId="21" xfId="4" applyFont="1" applyFill="1" applyBorder="1"/>
    <xf numFmtId="0" fontId="0" fillId="17" borderId="21" xfId="0" applyFill="1" applyBorder="1"/>
    <xf numFmtId="44" fontId="0" fillId="17" borderId="21" xfId="4" applyFont="1" applyFill="1" applyBorder="1"/>
    <xf numFmtId="0" fontId="0" fillId="18" borderId="21" xfId="0" applyFill="1" applyBorder="1"/>
    <xf numFmtId="44" fontId="0" fillId="18" borderId="21" xfId="4" applyFont="1" applyFill="1" applyBorder="1"/>
    <xf numFmtId="0" fontId="16" fillId="8" borderId="16" xfId="0" applyFont="1" applyFill="1" applyBorder="1"/>
    <xf numFmtId="0" fontId="16" fillId="8" borderId="0" xfId="0" applyFont="1" applyFill="1"/>
    <xf numFmtId="0" fontId="0" fillId="17" borderId="25" xfId="0" applyFill="1" applyBorder="1"/>
    <xf numFmtId="0" fontId="0" fillId="19" borderId="17" xfId="0" applyFill="1" applyBorder="1"/>
    <xf numFmtId="0" fontId="0" fillId="6" borderId="17" xfId="0" applyFill="1" applyBorder="1"/>
    <xf numFmtId="0" fontId="0" fillId="17" borderId="17" xfId="0" applyFill="1" applyBorder="1"/>
    <xf numFmtId="0" fontId="0" fillId="18" borderId="17" xfId="0" applyFill="1" applyBorder="1"/>
    <xf numFmtId="44" fontId="0" fillId="19" borderId="17" xfId="4" applyFont="1" applyFill="1" applyBorder="1"/>
    <xf numFmtId="44" fontId="0" fillId="6" borderId="17" xfId="4" applyFont="1" applyFill="1" applyBorder="1"/>
    <xf numFmtId="44" fontId="0" fillId="17" borderId="17" xfId="4" applyFont="1" applyFill="1" applyBorder="1"/>
    <xf numFmtId="44" fontId="0" fillId="18" borderId="17" xfId="4" applyFont="1" applyFill="1" applyBorder="1"/>
    <xf numFmtId="0" fontId="0" fillId="19" borderId="24" xfId="0" applyFill="1" applyBorder="1"/>
    <xf numFmtId="0" fontId="0" fillId="19" borderId="25" xfId="0" applyFill="1" applyBorder="1"/>
    <xf numFmtId="0" fontId="0" fillId="6" borderId="25" xfId="0" applyFill="1" applyBorder="1"/>
    <xf numFmtId="0" fontId="0" fillId="6" borderId="26" xfId="0" applyFill="1" applyBorder="1"/>
    <xf numFmtId="0" fontId="0" fillId="6" borderId="24" xfId="0" applyFill="1" applyBorder="1"/>
    <xf numFmtId="44" fontId="0" fillId="6" borderId="16" xfId="4" applyFont="1" applyFill="1" applyBorder="1"/>
    <xf numFmtId="0" fontId="0" fillId="18" borderId="25" xfId="0" applyFill="1" applyBorder="1"/>
    <xf numFmtId="0" fontId="17" fillId="5" borderId="17" xfId="0" applyFont="1" applyFill="1" applyBorder="1"/>
    <xf numFmtId="0" fontId="1" fillId="6" borderId="26" xfId="0" applyFont="1" applyFill="1" applyBorder="1"/>
    <xf numFmtId="0" fontId="1" fillId="19" borderId="17" xfId="0" applyFont="1" applyFill="1" applyBorder="1"/>
    <xf numFmtId="0" fontId="1" fillId="17" borderId="17" xfId="0" applyFont="1" applyFill="1" applyBorder="1"/>
    <xf numFmtId="0" fontId="16" fillId="8" borderId="17" xfId="0" applyFont="1" applyFill="1" applyBorder="1"/>
    <xf numFmtId="44" fontId="0" fillId="18" borderId="16" xfId="4" applyFont="1" applyFill="1" applyBorder="1"/>
    <xf numFmtId="9" fontId="0" fillId="18" borderId="21" xfId="1" applyFont="1" applyFill="1" applyBorder="1"/>
    <xf numFmtId="0" fontId="16" fillId="8" borderId="27" xfId="0" applyFont="1" applyFill="1" applyBorder="1"/>
    <xf numFmtId="0" fontId="16" fillId="8" borderId="25" xfId="0" applyFont="1" applyFill="1" applyBorder="1"/>
    <xf numFmtId="0" fontId="14" fillId="12" borderId="11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/>
    </xf>
    <xf numFmtId="0" fontId="18" fillId="16" borderId="22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" fillId="20" borderId="14" xfId="0" applyFont="1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0" borderId="28" xfId="0" applyFont="1" applyFill="1" applyBorder="1" applyAlignment="1">
      <alignment horizontal="center" vertical="center"/>
    </xf>
    <xf numFmtId="0" fontId="19" fillId="18" borderId="29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horizontal="center" vertical="center"/>
    </xf>
    <xf numFmtId="0" fontId="19" fillId="18" borderId="30" xfId="0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top" wrapText="1"/>
    </xf>
  </cellXfs>
  <cellStyles count="5">
    <cellStyle name="Moeda" xfId="4" builtinId="4"/>
    <cellStyle name="Normal" xfId="0" builtinId="0"/>
    <cellStyle name="Normal 2" xfId="2" xr:uid="{76A574E5-728F-414B-85A4-EA5F44F6D8E5}"/>
    <cellStyle name="Porcentagem" xfId="1" builtinId="5"/>
    <cellStyle name="Porcentagem 2" xfId="3" xr:uid="{222F8791-B17D-45C4-A954-9C793CDB51FE}"/>
  </cellStyles>
  <dxfs count="6">
    <dxf>
      <fill>
        <patternFill>
          <bgColor rgb="FFFFFFCC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ill>
        <patternFill>
          <bgColor rgb="FFFF7C8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colors>
    <mruColors>
      <color rgb="FFFFFFCC"/>
      <color rgb="FFF319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0A78A-CDB5-4314-8875-E40D1CBEA122}" name="Tabela4" displayName="Tabela4" ref="A1:C33" totalsRowShown="0">
  <autoFilter ref="A1:C33" xr:uid="{69F0A78A-CDB5-4314-8875-E40D1CBEA122}"/>
  <tableColumns count="3">
    <tableColumn id="1" xr3:uid="{ABDFF3F5-6C6C-4812-B01D-0D7EE0D48BAB}" name="COOPERATIVA XYZ" dataDxfId="5"/>
    <tableColumn id="2" xr3:uid="{FDF54487-A39C-4233-8720-7BCC6F9AF3FB}" name="Coluna1" dataDxfId="4" dataCellStyle="Porcentagem"/>
    <tableColumn id="3" xr3:uid="{42B2677C-E198-48CA-8DD4-DABEC28607C5}" name="Coluna2" dataDxfId="3" dataCellStyle="Moeda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60" zoomScaleNormal="160" workbookViewId="0">
      <selection activeCell="D5" sqref="D5"/>
    </sheetView>
  </sheetViews>
  <sheetFormatPr defaultRowHeight="12.75" x14ac:dyDescent="0.2"/>
  <cols>
    <col min="1" max="1" width="24" bestFit="1" customWidth="1"/>
    <col min="2" max="2" width="15" bestFit="1" customWidth="1"/>
    <col min="3" max="3" width="16.7109375" bestFit="1" customWidth="1"/>
    <col min="4" max="4" width="31.42578125" customWidth="1"/>
    <col min="6" max="6" width="14.85546875" bestFit="1" customWidth="1"/>
    <col min="7" max="7" width="16.42578125" bestFit="1" customWidth="1"/>
  </cols>
  <sheetData>
    <row r="1" spans="1:7" x14ac:dyDescent="0.2">
      <c r="A1" s="91" t="s">
        <v>0</v>
      </c>
      <c r="B1" s="91"/>
      <c r="C1" s="91"/>
      <c r="D1" s="91"/>
    </row>
    <row r="2" spans="1:7" x14ac:dyDescent="0.2">
      <c r="A2" s="92"/>
      <c r="B2" s="92"/>
      <c r="C2" s="92"/>
      <c r="D2" s="92"/>
    </row>
    <row r="3" spans="1:7" ht="13.5" thickBot="1" x14ac:dyDescent="0.25">
      <c r="A3" s="93" t="s">
        <v>1</v>
      </c>
      <c r="B3" s="93"/>
      <c r="C3" s="93"/>
      <c r="D3" s="93"/>
    </row>
    <row r="4" spans="1:7" ht="13.5" thickBot="1" x14ac:dyDescent="0.25">
      <c r="A4" s="35"/>
      <c r="B4" s="35"/>
      <c r="C4" s="54" t="s">
        <v>2</v>
      </c>
      <c r="D4" s="37">
        <v>46000</v>
      </c>
    </row>
    <row r="5" spans="1:7" ht="34.5" thickBot="1" x14ac:dyDescent="0.5">
      <c r="A5" s="36"/>
      <c r="B5" s="36"/>
      <c r="C5" s="52" t="s">
        <v>64</v>
      </c>
      <c r="D5" s="55">
        <v>5.44</v>
      </c>
    </row>
    <row r="6" spans="1:7" ht="13.5" thickBot="1" x14ac:dyDescent="0.25">
      <c r="A6" s="35"/>
      <c r="B6" s="35"/>
      <c r="C6" s="53" t="s">
        <v>163</v>
      </c>
      <c r="D6" s="38">
        <v>0.05</v>
      </c>
      <c r="F6" s="2"/>
    </row>
    <row r="7" spans="1:7" x14ac:dyDescent="0.2">
      <c r="A7" s="36"/>
      <c r="B7" s="36"/>
      <c r="C7" s="39"/>
      <c r="D7" s="36"/>
      <c r="F7" s="2"/>
    </row>
    <row r="8" spans="1:7" ht="13.5" thickBot="1" x14ac:dyDescent="0.25">
      <c r="A8" s="35"/>
      <c r="B8" s="35"/>
      <c r="C8" s="35"/>
      <c r="D8" s="35"/>
      <c r="F8" s="2"/>
    </row>
    <row r="9" spans="1:7" x14ac:dyDescent="0.2">
      <c r="A9" s="44" t="s">
        <v>3</v>
      </c>
      <c r="B9" s="45" t="s">
        <v>4</v>
      </c>
      <c r="C9" s="46" t="s">
        <v>5</v>
      </c>
      <c r="D9" s="47" t="s">
        <v>6</v>
      </c>
      <c r="F9" s="2"/>
    </row>
    <row r="10" spans="1:7" x14ac:dyDescent="0.2">
      <c r="A10" s="48" t="s">
        <v>8</v>
      </c>
      <c r="B10" s="50" t="s">
        <v>9</v>
      </c>
      <c r="C10" s="40">
        <v>24339</v>
      </c>
      <c r="D10" s="41">
        <f>C10*D$5+C10*D$6</f>
        <v>133621.11000000002</v>
      </c>
      <c r="F10" s="28"/>
      <c r="G10" s="26"/>
    </row>
    <row r="11" spans="1:7" x14ac:dyDescent="0.2">
      <c r="A11" s="49" t="s">
        <v>10</v>
      </c>
      <c r="B11" s="51">
        <v>626</v>
      </c>
      <c r="C11" s="42">
        <v>35355</v>
      </c>
      <c r="D11" s="43">
        <f t="shared" ref="D11:D34" si="0">C11*D$5+C11*D$6</f>
        <v>194098.95</v>
      </c>
      <c r="F11" s="2"/>
    </row>
    <row r="12" spans="1:7" x14ac:dyDescent="0.2">
      <c r="A12" s="48" t="s">
        <v>11</v>
      </c>
      <c r="B12" s="50" t="s">
        <v>12</v>
      </c>
      <c r="C12" s="40">
        <v>65000</v>
      </c>
      <c r="D12" s="41">
        <f t="shared" si="0"/>
        <v>356850</v>
      </c>
      <c r="F12" s="2"/>
    </row>
    <row r="13" spans="1:7" x14ac:dyDescent="0.2">
      <c r="A13" s="49" t="s">
        <v>13</v>
      </c>
      <c r="B13" s="51" t="s">
        <v>14</v>
      </c>
      <c r="C13" s="42">
        <v>60000</v>
      </c>
      <c r="D13" s="43">
        <f t="shared" si="0"/>
        <v>329400</v>
      </c>
      <c r="F13" s="2"/>
    </row>
    <row r="14" spans="1:7" x14ac:dyDescent="0.2">
      <c r="A14" s="48" t="s">
        <v>15</v>
      </c>
      <c r="B14" s="50" t="s">
        <v>16</v>
      </c>
      <c r="C14" s="40">
        <v>75000</v>
      </c>
      <c r="D14" s="41">
        <f t="shared" si="0"/>
        <v>411750.00000000006</v>
      </c>
      <c r="F14" s="2"/>
    </row>
    <row r="15" spans="1:7" x14ac:dyDescent="0.2">
      <c r="A15" s="49" t="s">
        <v>109</v>
      </c>
      <c r="B15" s="51" t="s">
        <v>115</v>
      </c>
      <c r="C15" s="42">
        <v>13600</v>
      </c>
      <c r="D15" s="43">
        <f t="shared" si="0"/>
        <v>74664</v>
      </c>
      <c r="F15" s="2"/>
    </row>
    <row r="16" spans="1:7" x14ac:dyDescent="0.2">
      <c r="A16" s="48" t="s">
        <v>110</v>
      </c>
      <c r="B16" s="50" t="s">
        <v>116</v>
      </c>
      <c r="C16" s="40">
        <v>18995</v>
      </c>
      <c r="D16" s="41">
        <f t="shared" si="0"/>
        <v>104282.55</v>
      </c>
      <c r="G16" s="2"/>
    </row>
    <row r="17" spans="1:7" x14ac:dyDescent="0.2">
      <c r="A17" s="49" t="s">
        <v>111</v>
      </c>
      <c r="B17" s="51" t="s">
        <v>117</v>
      </c>
      <c r="C17" s="42">
        <v>19190</v>
      </c>
      <c r="D17" s="43">
        <f t="shared" si="0"/>
        <v>105353.1</v>
      </c>
      <c r="G17" s="2"/>
    </row>
    <row r="18" spans="1:7" x14ac:dyDescent="0.2">
      <c r="A18" s="48" t="s">
        <v>112</v>
      </c>
      <c r="B18" s="50" t="s">
        <v>118</v>
      </c>
      <c r="C18" s="40">
        <v>19510</v>
      </c>
      <c r="D18" s="41">
        <f t="shared" si="0"/>
        <v>107109.90000000001</v>
      </c>
      <c r="G18" s="2"/>
    </row>
    <row r="19" spans="1:7" x14ac:dyDescent="0.2">
      <c r="A19" s="49" t="s">
        <v>113</v>
      </c>
      <c r="B19" s="51" t="s">
        <v>119</v>
      </c>
      <c r="C19" s="42">
        <v>19995</v>
      </c>
      <c r="D19" s="43">
        <f t="shared" si="0"/>
        <v>109772.55</v>
      </c>
      <c r="G19" s="2"/>
    </row>
    <row r="20" spans="1:7" x14ac:dyDescent="0.2">
      <c r="A20" s="48" t="s">
        <v>7</v>
      </c>
      <c r="B20" s="50" t="s">
        <v>124</v>
      </c>
      <c r="C20" s="40">
        <v>20815</v>
      </c>
      <c r="D20" s="41">
        <f t="shared" si="0"/>
        <v>114274.35</v>
      </c>
      <c r="G20" s="2"/>
    </row>
    <row r="21" spans="1:7" x14ac:dyDescent="0.2">
      <c r="A21" s="49" t="s">
        <v>109</v>
      </c>
      <c r="B21" s="51" t="s">
        <v>120</v>
      </c>
      <c r="C21" s="42">
        <v>21600</v>
      </c>
      <c r="D21" s="43">
        <f t="shared" si="0"/>
        <v>118584.00000000001</v>
      </c>
      <c r="G21" s="2"/>
    </row>
    <row r="22" spans="1:7" x14ac:dyDescent="0.2">
      <c r="A22" s="48" t="s">
        <v>8</v>
      </c>
      <c r="B22" s="50" t="s">
        <v>121</v>
      </c>
      <c r="C22" s="40">
        <v>23600</v>
      </c>
      <c r="D22" s="41">
        <f t="shared" si="0"/>
        <v>129564.00000000001</v>
      </c>
      <c r="G22" s="2"/>
    </row>
    <row r="23" spans="1:7" x14ac:dyDescent="0.2">
      <c r="A23" s="49" t="s">
        <v>114</v>
      </c>
      <c r="B23" s="51" t="s">
        <v>122</v>
      </c>
      <c r="C23" s="42">
        <v>28380</v>
      </c>
      <c r="D23" s="43">
        <f t="shared" si="0"/>
        <v>155806.20000000001</v>
      </c>
      <c r="G23" s="2"/>
    </row>
    <row r="24" spans="1:7" x14ac:dyDescent="0.2">
      <c r="A24" s="48" t="s">
        <v>113</v>
      </c>
      <c r="B24" s="50" t="s">
        <v>123</v>
      </c>
      <c r="C24" s="40">
        <v>156570</v>
      </c>
      <c r="D24" s="41">
        <f t="shared" si="0"/>
        <v>859569.3</v>
      </c>
    </row>
    <row r="25" spans="1:7" x14ac:dyDescent="0.2">
      <c r="A25" s="49" t="s">
        <v>110</v>
      </c>
      <c r="B25" s="51" t="s">
        <v>116</v>
      </c>
      <c r="C25" s="42">
        <v>18995</v>
      </c>
      <c r="D25" s="43">
        <f t="shared" si="0"/>
        <v>104282.55</v>
      </c>
    </row>
    <row r="26" spans="1:7" x14ac:dyDescent="0.2">
      <c r="A26" s="48" t="s">
        <v>110</v>
      </c>
      <c r="B26" s="50" t="s">
        <v>127</v>
      </c>
      <c r="C26" s="40">
        <v>23195</v>
      </c>
      <c r="D26" s="41">
        <f t="shared" si="0"/>
        <v>127340.55</v>
      </c>
    </row>
    <row r="27" spans="1:7" x14ac:dyDescent="0.2">
      <c r="A27" s="49" t="s">
        <v>113</v>
      </c>
      <c r="B27" s="51" t="s">
        <v>128</v>
      </c>
      <c r="C27" s="42">
        <v>15790</v>
      </c>
      <c r="D27" s="43">
        <f t="shared" si="0"/>
        <v>86687.1</v>
      </c>
    </row>
    <row r="28" spans="1:7" x14ac:dyDescent="0.2">
      <c r="A28" s="48" t="s">
        <v>113</v>
      </c>
      <c r="B28" s="50" t="s">
        <v>129</v>
      </c>
      <c r="C28" s="40">
        <v>27155</v>
      </c>
      <c r="D28" s="41">
        <f t="shared" si="0"/>
        <v>149080.95000000001</v>
      </c>
    </row>
    <row r="29" spans="1:7" x14ac:dyDescent="0.2">
      <c r="A29" s="49" t="s">
        <v>109</v>
      </c>
      <c r="B29" s="51" t="s">
        <v>115</v>
      </c>
      <c r="C29" s="42">
        <v>13600</v>
      </c>
      <c r="D29" s="43">
        <f t="shared" si="0"/>
        <v>74664</v>
      </c>
    </row>
    <row r="30" spans="1:7" x14ac:dyDescent="0.2">
      <c r="A30" s="48" t="s">
        <v>109</v>
      </c>
      <c r="B30" s="50" t="s">
        <v>130</v>
      </c>
      <c r="C30" s="40">
        <v>24700</v>
      </c>
      <c r="D30" s="41">
        <f t="shared" si="0"/>
        <v>135603</v>
      </c>
    </row>
    <row r="31" spans="1:7" x14ac:dyDescent="0.2">
      <c r="A31" s="49" t="s">
        <v>109</v>
      </c>
      <c r="B31" s="51" t="s">
        <v>131</v>
      </c>
      <c r="C31" s="42">
        <v>25000</v>
      </c>
      <c r="D31" s="43">
        <f t="shared" si="0"/>
        <v>137250</v>
      </c>
    </row>
    <row r="32" spans="1:7" x14ac:dyDescent="0.2">
      <c r="A32" s="48" t="s">
        <v>113</v>
      </c>
      <c r="B32" s="50" t="s">
        <v>132</v>
      </c>
      <c r="C32" s="40">
        <v>33860</v>
      </c>
      <c r="D32" s="41">
        <f t="shared" si="0"/>
        <v>185891.40000000002</v>
      </c>
    </row>
    <row r="33" spans="1:4" x14ac:dyDescent="0.2">
      <c r="A33" s="49" t="s">
        <v>125</v>
      </c>
      <c r="B33" s="51">
        <v>500</v>
      </c>
      <c r="C33" s="42">
        <v>17750</v>
      </c>
      <c r="D33" s="43">
        <f t="shared" si="0"/>
        <v>97447.5</v>
      </c>
    </row>
    <row r="34" spans="1:4" x14ac:dyDescent="0.2">
      <c r="A34" s="48" t="s">
        <v>125</v>
      </c>
      <c r="B34" s="50" t="s">
        <v>126</v>
      </c>
      <c r="C34" s="40">
        <v>25390</v>
      </c>
      <c r="D34" s="41">
        <f t="shared" si="0"/>
        <v>139391.1</v>
      </c>
    </row>
  </sheetData>
  <mergeCells count="2">
    <mergeCell ref="A1:D2"/>
    <mergeCell ref="A3:D3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="175" zoomScaleNormal="175" workbookViewId="0">
      <selection activeCell="E22" sqref="E22"/>
    </sheetView>
  </sheetViews>
  <sheetFormatPr defaultRowHeight="12.75" x14ac:dyDescent="0.2"/>
  <cols>
    <col min="1" max="1" width="8" bestFit="1" customWidth="1"/>
    <col min="2" max="2" width="10.28515625" bestFit="1" customWidth="1"/>
    <col min="3" max="3" width="16.28515625" bestFit="1" customWidth="1"/>
    <col min="4" max="4" width="14.42578125" bestFit="1" customWidth="1"/>
    <col min="5" max="5" width="17.42578125" bestFit="1" customWidth="1"/>
    <col min="6" max="6" width="16.28515625" bestFit="1" customWidth="1"/>
    <col min="8" max="8" width="14.5703125" bestFit="1" customWidth="1"/>
    <col min="9" max="9" width="13.5703125" bestFit="1" customWidth="1"/>
  </cols>
  <sheetData>
    <row r="1" spans="1:6" ht="38.25" customHeight="1" thickBot="1" x14ac:dyDescent="0.25">
      <c r="A1" s="94" t="s">
        <v>138</v>
      </c>
      <c r="B1" s="94"/>
      <c r="C1" s="94"/>
      <c r="D1" s="94"/>
      <c r="E1" s="94"/>
      <c r="F1" s="94"/>
    </row>
    <row r="2" spans="1:6" x14ac:dyDescent="0.2">
      <c r="A2" s="97" t="s">
        <v>41</v>
      </c>
      <c r="B2" s="100" t="s">
        <v>42</v>
      </c>
      <c r="E2" s="75" t="s">
        <v>133</v>
      </c>
      <c r="F2" s="87">
        <v>5.36</v>
      </c>
    </row>
    <row r="3" spans="1:6" x14ac:dyDescent="0.2">
      <c r="A3" s="98"/>
      <c r="B3" s="101"/>
      <c r="E3" s="76" t="s">
        <v>134</v>
      </c>
      <c r="F3" s="63">
        <v>3.59</v>
      </c>
    </row>
    <row r="4" spans="1:6" ht="13.5" thickBot="1" x14ac:dyDescent="0.25">
      <c r="A4" s="99"/>
      <c r="B4" s="102"/>
      <c r="E4" s="76" t="s">
        <v>135</v>
      </c>
      <c r="F4" s="88">
        <v>0.05</v>
      </c>
    </row>
    <row r="5" spans="1:6" x14ac:dyDescent="0.2">
      <c r="E5" s="76" t="s">
        <v>136</v>
      </c>
      <c r="F5" s="88">
        <v>0.15</v>
      </c>
    </row>
    <row r="7" spans="1:6" x14ac:dyDescent="0.2">
      <c r="A7" s="82" t="s">
        <v>43</v>
      </c>
      <c r="B7" s="82">
        <v>2023</v>
      </c>
      <c r="C7" s="95" t="s">
        <v>44</v>
      </c>
      <c r="D7" s="96"/>
      <c r="E7" s="95" t="s">
        <v>45</v>
      </c>
      <c r="F7" s="96"/>
    </row>
    <row r="8" spans="1:6" x14ac:dyDescent="0.2">
      <c r="A8" s="86"/>
      <c r="B8" s="86"/>
      <c r="C8" s="64" t="s">
        <v>46</v>
      </c>
      <c r="D8" s="90" t="s">
        <v>137</v>
      </c>
      <c r="E8" s="65" t="s">
        <v>46</v>
      </c>
      <c r="F8" s="89" t="s">
        <v>47</v>
      </c>
    </row>
    <row r="9" spans="1:6" ht="12.75" customHeight="1" x14ac:dyDescent="0.2">
      <c r="A9" s="83" t="s">
        <v>48</v>
      </c>
      <c r="B9" s="78" t="s">
        <v>49</v>
      </c>
      <c r="C9" s="58">
        <v>932</v>
      </c>
      <c r="D9" s="72">
        <f>C9*F$2-C9*F$2*F$4+C9*F$2*F$5</f>
        <v>5495.072000000001</v>
      </c>
      <c r="E9" s="79">
        <v>114538</v>
      </c>
      <c r="F9" s="80">
        <f>E9*F$3-E9*F$3*F$4+E9*F$3*F$5</f>
        <v>452310.56199999998</v>
      </c>
    </row>
    <row r="10" spans="1:6" ht="12.75" customHeight="1" x14ac:dyDescent="0.2">
      <c r="A10" s="68"/>
      <c r="B10" s="68" t="s">
        <v>50</v>
      </c>
      <c r="C10" s="58">
        <v>800</v>
      </c>
      <c r="D10" s="72">
        <f t="shared" ref="D10:D20" si="0">C10*F$2-C10*F$2*F$4+C10*F$2*F$5</f>
        <v>4716.8</v>
      </c>
      <c r="E10" s="77">
        <v>100287</v>
      </c>
      <c r="F10" s="59">
        <f>E10*F$3-E10*F$3*F$4+E10*F$3*F$5</f>
        <v>396033.3629999999</v>
      </c>
    </row>
    <row r="11" spans="1:6" ht="12.75" customHeight="1" x14ac:dyDescent="0.2">
      <c r="A11" s="68"/>
      <c r="B11" s="68" t="s">
        <v>51</v>
      </c>
      <c r="C11" s="58">
        <v>843</v>
      </c>
      <c r="D11" s="72">
        <f t="shared" si="0"/>
        <v>4970.3280000000004</v>
      </c>
      <c r="E11" s="77">
        <v>98345</v>
      </c>
      <c r="F11" s="59">
        <f>E11*F$3-E11*F$3*F$4+E11*F$3*F$5</f>
        <v>388364.40499999997</v>
      </c>
    </row>
    <row r="12" spans="1:6" ht="12.75" customHeight="1" x14ac:dyDescent="0.2">
      <c r="A12" s="84" t="s">
        <v>52</v>
      </c>
      <c r="B12" s="67" t="s">
        <v>53</v>
      </c>
      <c r="C12" s="56">
        <v>874</v>
      </c>
      <c r="D12" s="71">
        <f t="shared" si="0"/>
        <v>5153.1040000000003</v>
      </c>
      <c r="E12" s="76">
        <v>65418</v>
      </c>
      <c r="F12" s="57">
        <f t="shared" ref="F12:F20" si="1">E12*F$3-E12*F$3*F$4+E12*F$3*F$5</f>
        <v>258335.682</v>
      </c>
    </row>
    <row r="13" spans="1:6" ht="12.75" customHeight="1" x14ac:dyDescent="0.2">
      <c r="A13" s="67"/>
      <c r="B13" s="67" t="s">
        <v>54</v>
      </c>
      <c r="C13" s="56">
        <v>921</v>
      </c>
      <c r="D13" s="71">
        <f t="shared" si="0"/>
        <v>5430.2160000000003</v>
      </c>
      <c r="E13" s="76">
        <v>387721</v>
      </c>
      <c r="F13" s="57">
        <f t="shared" si="1"/>
        <v>1531110.2289999998</v>
      </c>
    </row>
    <row r="14" spans="1:6" ht="12.75" customHeight="1" x14ac:dyDescent="0.2">
      <c r="A14" s="67"/>
      <c r="B14" s="67" t="s">
        <v>55</v>
      </c>
      <c r="C14" s="56">
        <v>769</v>
      </c>
      <c r="D14" s="71">
        <f t="shared" si="0"/>
        <v>4534.0240000000003</v>
      </c>
      <c r="E14" s="76">
        <v>256890</v>
      </c>
      <c r="F14" s="57">
        <f t="shared" si="1"/>
        <v>1014458.61</v>
      </c>
    </row>
    <row r="15" spans="1:6" ht="12.75" customHeight="1" x14ac:dyDescent="0.2">
      <c r="A15" s="70" t="s">
        <v>56</v>
      </c>
      <c r="B15" s="70" t="s">
        <v>57</v>
      </c>
      <c r="C15" s="62">
        <v>658</v>
      </c>
      <c r="D15" s="74">
        <f t="shared" si="0"/>
        <v>3879.5680000000002</v>
      </c>
      <c r="E15" s="81">
        <v>345216</v>
      </c>
      <c r="F15" s="63">
        <f t="shared" si="1"/>
        <v>1363257.9840000002</v>
      </c>
    </row>
    <row r="16" spans="1:6" ht="12.75" customHeight="1" x14ac:dyDescent="0.2">
      <c r="A16" s="70"/>
      <c r="B16" s="70" t="s">
        <v>58</v>
      </c>
      <c r="C16" s="62">
        <v>618</v>
      </c>
      <c r="D16" s="74">
        <f t="shared" si="0"/>
        <v>3643.7279999999996</v>
      </c>
      <c r="E16" s="81">
        <v>561942</v>
      </c>
      <c r="F16" s="63">
        <f t="shared" si="1"/>
        <v>2219108.9580000001</v>
      </c>
    </row>
    <row r="17" spans="1:6" ht="12.75" customHeight="1" x14ac:dyDescent="0.2">
      <c r="A17" s="70"/>
      <c r="B17" s="70" t="s">
        <v>59</v>
      </c>
      <c r="C17" s="62">
        <v>743</v>
      </c>
      <c r="D17" s="74">
        <f t="shared" si="0"/>
        <v>4380.7280000000001</v>
      </c>
      <c r="E17" s="81">
        <v>389012</v>
      </c>
      <c r="F17" s="63">
        <f t="shared" si="1"/>
        <v>1536208.3879999998</v>
      </c>
    </row>
    <row r="18" spans="1:6" ht="12.75" customHeight="1" x14ac:dyDescent="0.2">
      <c r="A18" s="85" t="s">
        <v>60</v>
      </c>
      <c r="B18" s="69" t="s">
        <v>61</v>
      </c>
      <c r="C18" s="60">
        <v>1157</v>
      </c>
      <c r="D18" s="73">
        <f t="shared" si="0"/>
        <v>6821.6720000000005</v>
      </c>
      <c r="E18" s="66">
        <v>547024</v>
      </c>
      <c r="F18" s="61">
        <f t="shared" si="1"/>
        <v>2160197.7760000001</v>
      </c>
    </row>
    <row r="19" spans="1:6" ht="12.75" customHeight="1" x14ac:dyDescent="0.2">
      <c r="A19" s="69"/>
      <c r="B19" s="69" t="s">
        <v>62</v>
      </c>
      <c r="C19" s="60">
        <v>917</v>
      </c>
      <c r="D19" s="73">
        <f t="shared" si="0"/>
        <v>5406.6319999999996</v>
      </c>
      <c r="E19" s="66">
        <v>146793</v>
      </c>
      <c r="F19" s="61">
        <f t="shared" si="1"/>
        <v>579685.55700000003</v>
      </c>
    </row>
    <row r="20" spans="1:6" ht="12.75" customHeight="1" x14ac:dyDescent="0.2">
      <c r="A20" s="69"/>
      <c r="B20" s="69" t="s">
        <v>63</v>
      </c>
      <c r="C20" s="60">
        <v>1345</v>
      </c>
      <c r="D20" s="73">
        <f t="shared" si="0"/>
        <v>7930.1200000000008</v>
      </c>
      <c r="E20" s="66">
        <v>469147</v>
      </c>
      <c r="F20" s="61">
        <f t="shared" si="1"/>
        <v>1852661.503</v>
      </c>
    </row>
  </sheetData>
  <mergeCells count="5">
    <mergeCell ref="A1:F1"/>
    <mergeCell ref="C7:D7"/>
    <mergeCell ref="E7:F7"/>
    <mergeCell ref="A2:A4"/>
    <mergeCell ref="B2:B4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="190" zoomScaleNormal="190" workbookViewId="0">
      <selection activeCell="E7" sqref="E7"/>
    </sheetView>
  </sheetViews>
  <sheetFormatPr defaultRowHeight="12.75" x14ac:dyDescent="0.2"/>
  <cols>
    <col min="1" max="1" width="12.42578125" customWidth="1"/>
    <col min="2" max="2" width="14.28515625" bestFit="1" customWidth="1"/>
    <col min="3" max="3" width="10.28515625" customWidth="1"/>
    <col min="4" max="4" width="12.140625" customWidth="1"/>
    <col min="5" max="5" width="16.28515625" customWidth="1"/>
    <col min="6" max="6" width="12.5703125" customWidth="1"/>
    <col min="7" max="7" width="13.5703125" bestFit="1" customWidth="1"/>
    <col min="8" max="8" width="13.42578125" bestFit="1" customWidth="1"/>
  </cols>
  <sheetData>
    <row r="1" spans="1:5" ht="12" customHeight="1" x14ac:dyDescent="0.2">
      <c r="A1" t="s">
        <v>17</v>
      </c>
      <c r="D1" t="s">
        <v>2</v>
      </c>
      <c r="E1" s="1">
        <v>46000</v>
      </c>
    </row>
    <row r="2" spans="1:5" ht="12.75" customHeight="1" x14ac:dyDescent="0.2">
      <c r="D2" t="s">
        <v>18</v>
      </c>
      <c r="E2">
        <v>5.44</v>
      </c>
    </row>
    <row r="3" spans="1:5" ht="12.75" customHeight="1" x14ac:dyDescent="0.2">
      <c r="A3" t="s">
        <v>71</v>
      </c>
      <c r="D3" t="s">
        <v>140</v>
      </c>
      <c r="E3">
        <v>0.05</v>
      </c>
    </row>
    <row r="4" spans="1:5" ht="12.75" customHeight="1" x14ac:dyDescent="0.2">
      <c r="D4" t="s">
        <v>141</v>
      </c>
      <c r="E4">
        <v>0.12</v>
      </c>
    </row>
    <row r="6" spans="1:5" x14ac:dyDescent="0.2">
      <c r="A6" t="s">
        <v>19</v>
      </c>
      <c r="B6" t="s">
        <v>20</v>
      </c>
      <c r="C6" t="s">
        <v>21</v>
      </c>
      <c r="D6" t="s">
        <v>22</v>
      </c>
      <c r="E6" t="s">
        <v>139</v>
      </c>
    </row>
    <row r="7" spans="1:5" x14ac:dyDescent="0.2">
      <c r="A7" t="s">
        <v>23</v>
      </c>
      <c r="B7" t="s">
        <v>24</v>
      </c>
      <c r="C7">
        <v>2000</v>
      </c>
      <c r="D7">
        <v>1</v>
      </c>
      <c r="E7" s="29">
        <f>C7*D7/E$2+C7*D7*E$3+C7*D7*E$4</f>
        <v>707.64705882352939</v>
      </c>
    </row>
    <row r="8" spans="1:5" x14ac:dyDescent="0.2">
      <c r="A8" t="s">
        <v>25</v>
      </c>
      <c r="B8" t="s">
        <v>26</v>
      </c>
      <c r="C8">
        <v>3000</v>
      </c>
      <c r="D8">
        <v>1.5</v>
      </c>
      <c r="E8" s="29">
        <f t="shared" ref="E8:E16" si="0">C8*D8/E$2+C8*D8*E$3+C8*D8*E$4</f>
        <v>1592.205882352941</v>
      </c>
    </row>
    <row r="9" spans="1:5" x14ac:dyDescent="0.2">
      <c r="A9" t="s">
        <v>27</v>
      </c>
      <c r="B9" t="s">
        <v>28</v>
      </c>
      <c r="C9">
        <v>3500</v>
      </c>
      <c r="D9">
        <v>1.25</v>
      </c>
      <c r="E9" s="29">
        <f t="shared" si="0"/>
        <v>1547.9779411764705</v>
      </c>
    </row>
    <row r="10" spans="1:5" x14ac:dyDescent="0.2">
      <c r="A10" t="s">
        <v>29</v>
      </c>
      <c r="B10" t="s">
        <v>30</v>
      </c>
      <c r="C10">
        <v>1000</v>
      </c>
      <c r="D10">
        <v>2</v>
      </c>
      <c r="E10" s="29">
        <f t="shared" si="0"/>
        <v>707.64705882352939</v>
      </c>
    </row>
    <row r="11" spans="1:5" x14ac:dyDescent="0.2">
      <c r="A11" t="s">
        <v>31</v>
      </c>
      <c r="B11" t="s">
        <v>32</v>
      </c>
      <c r="C11">
        <v>300</v>
      </c>
      <c r="D11">
        <v>3</v>
      </c>
      <c r="E11" s="29">
        <f t="shared" si="0"/>
        <v>318.44117647058823</v>
      </c>
    </row>
    <row r="12" spans="1:5" x14ac:dyDescent="0.2">
      <c r="A12" t="s">
        <v>33</v>
      </c>
      <c r="B12" t="s">
        <v>34</v>
      </c>
      <c r="C12">
        <v>400</v>
      </c>
      <c r="D12">
        <v>0.5</v>
      </c>
      <c r="E12" s="29">
        <f t="shared" si="0"/>
        <v>70.764705882352942</v>
      </c>
    </row>
    <row r="13" spans="1:5" x14ac:dyDescent="0.2">
      <c r="A13" t="s">
        <v>35</v>
      </c>
      <c r="B13" t="s">
        <v>36</v>
      </c>
      <c r="C13">
        <v>1500</v>
      </c>
      <c r="D13">
        <v>1.6</v>
      </c>
      <c r="E13" s="29">
        <f t="shared" si="0"/>
        <v>849.17647058823525</v>
      </c>
    </row>
    <row r="14" spans="1:5" x14ac:dyDescent="0.2">
      <c r="A14" t="s">
        <v>37</v>
      </c>
      <c r="B14" t="s">
        <v>24</v>
      </c>
      <c r="C14">
        <v>12000</v>
      </c>
      <c r="D14">
        <v>1.3</v>
      </c>
      <c r="E14" s="29">
        <f t="shared" si="0"/>
        <v>5519.6470588235297</v>
      </c>
    </row>
    <row r="15" spans="1:5" x14ac:dyDescent="0.2">
      <c r="A15" t="s">
        <v>38</v>
      </c>
      <c r="B15" t="s">
        <v>36</v>
      </c>
      <c r="C15">
        <v>4500</v>
      </c>
      <c r="D15">
        <v>2.5</v>
      </c>
      <c r="E15" s="29">
        <f t="shared" si="0"/>
        <v>3980.5147058823527</v>
      </c>
    </row>
    <row r="16" spans="1:5" x14ac:dyDescent="0.2">
      <c r="A16" t="s">
        <v>39</v>
      </c>
      <c r="B16" t="s">
        <v>40</v>
      </c>
      <c r="C16">
        <v>2800</v>
      </c>
      <c r="D16">
        <v>2.1</v>
      </c>
      <c r="E16" s="29">
        <f t="shared" si="0"/>
        <v>2080.4823529411765</v>
      </c>
    </row>
    <row r="18" spans="4:5" ht="12.75" customHeight="1" x14ac:dyDescent="0.2">
      <c r="D18" t="s">
        <v>69</v>
      </c>
      <c r="E18" s="29">
        <f>SUM(E7:E16)</f>
        <v>17374.504411764705</v>
      </c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zoomScale="130" zoomScaleNormal="130" workbookViewId="0">
      <selection activeCell="F9" sqref="F9"/>
    </sheetView>
  </sheetViews>
  <sheetFormatPr defaultRowHeight="12.75" x14ac:dyDescent="0.2"/>
  <cols>
    <col min="1" max="1" width="20.28515625" customWidth="1"/>
    <col min="2" max="2" width="13.28515625" bestFit="1" customWidth="1"/>
    <col min="3" max="3" width="14" customWidth="1"/>
    <col min="4" max="6" width="13.5703125" customWidth="1"/>
    <col min="7" max="7" width="14.7109375" customWidth="1"/>
    <col min="257" max="257" width="12" bestFit="1" customWidth="1"/>
    <col min="258" max="258" width="13.28515625" bestFit="1" customWidth="1"/>
    <col min="259" max="259" width="4.42578125" customWidth="1"/>
    <col min="260" max="262" width="13.5703125" customWidth="1"/>
    <col min="263" max="263" width="14.7109375" customWidth="1"/>
    <col min="513" max="513" width="12" bestFit="1" customWidth="1"/>
    <col min="514" max="514" width="13.28515625" bestFit="1" customWidth="1"/>
    <col min="515" max="515" width="4.42578125" customWidth="1"/>
    <col min="516" max="518" width="13.5703125" customWidth="1"/>
    <col min="519" max="519" width="14.7109375" customWidth="1"/>
    <col min="769" max="769" width="12" bestFit="1" customWidth="1"/>
    <col min="770" max="770" width="13.28515625" bestFit="1" customWidth="1"/>
    <col min="771" max="771" width="4.42578125" customWidth="1"/>
    <col min="772" max="774" width="13.5703125" customWidth="1"/>
    <col min="775" max="775" width="14.7109375" customWidth="1"/>
    <col min="1025" max="1025" width="12" bestFit="1" customWidth="1"/>
    <col min="1026" max="1026" width="13.28515625" bestFit="1" customWidth="1"/>
    <col min="1027" max="1027" width="4.42578125" customWidth="1"/>
    <col min="1028" max="1030" width="13.5703125" customWidth="1"/>
    <col min="1031" max="1031" width="14.7109375" customWidth="1"/>
    <col min="1281" max="1281" width="12" bestFit="1" customWidth="1"/>
    <col min="1282" max="1282" width="13.28515625" bestFit="1" customWidth="1"/>
    <col min="1283" max="1283" width="4.42578125" customWidth="1"/>
    <col min="1284" max="1286" width="13.5703125" customWidth="1"/>
    <col min="1287" max="1287" width="14.7109375" customWidth="1"/>
    <col min="1537" max="1537" width="12" bestFit="1" customWidth="1"/>
    <col min="1538" max="1538" width="13.28515625" bestFit="1" customWidth="1"/>
    <col min="1539" max="1539" width="4.42578125" customWidth="1"/>
    <col min="1540" max="1542" width="13.5703125" customWidth="1"/>
    <col min="1543" max="1543" width="14.7109375" customWidth="1"/>
    <col min="1793" max="1793" width="12" bestFit="1" customWidth="1"/>
    <col min="1794" max="1794" width="13.28515625" bestFit="1" customWidth="1"/>
    <col min="1795" max="1795" width="4.42578125" customWidth="1"/>
    <col min="1796" max="1798" width="13.5703125" customWidth="1"/>
    <col min="1799" max="1799" width="14.7109375" customWidth="1"/>
    <col min="2049" max="2049" width="12" bestFit="1" customWidth="1"/>
    <col min="2050" max="2050" width="13.28515625" bestFit="1" customWidth="1"/>
    <col min="2051" max="2051" width="4.42578125" customWidth="1"/>
    <col min="2052" max="2054" width="13.5703125" customWidth="1"/>
    <col min="2055" max="2055" width="14.7109375" customWidth="1"/>
    <col min="2305" max="2305" width="12" bestFit="1" customWidth="1"/>
    <col min="2306" max="2306" width="13.28515625" bestFit="1" customWidth="1"/>
    <col min="2307" max="2307" width="4.42578125" customWidth="1"/>
    <col min="2308" max="2310" width="13.5703125" customWidth="1"/>
    <col min="2311" max="2311" width="14.7109375" customWidth="1"/>
    <col min="2561" max="2561" width="12" bestFit="1" customWidth="1"/>
    <col min="2562" max="2562" width="13.28515625" bestFit="1" customWidth="1"/>
    <col min="2563" max="2563" width="4.42578125" customWidth="1"/>
    <col min="2564" max="2566" width="13.5703125" customWidth="1"/>
    <col min="2567" max="2567" width="14.7109375" customWidth="1"/>
    <col min="2817" max="2817" width="12" bestFit="1" customWidth="1"/>
    <col min="2818" max="2818" width="13.28515625" bestFit="1" customWidth="1"/>
    <col min="2819" max="2819" width="4.42578125" customWidth="1"/>
    <col min="2820" max="2822" width="13.5703125" customWidth="1"/>
    <col min="2823" max="2823" width="14.7109375" customWidth="1"/>
    <col min="3073" max="3073" width="12" bestFit="1" customWidth="1"/>
    <col min="3074" max="3074" width="13.28515625" bestFit="1" customWidth="1"/>
    <col min="3075" max="3075" width="4.42578125" customWidth="1"/>
    <col min="3076" max="3078" width="13.5703125" customWidth="1"/>
    <col min="3079" max="3079" width="14.7109375" customWidth="1"/>
    <col min="3329" max="3329" width="12" bestFit="1" customWidth="1"/>
    <col min="3330" max="3330" width="13.28515625" bestFit="1" customWidth="1"/>
    <col min="3331" max="3331" width="4.42578125" customWidth="1"/>
    <col min="3332" max="3334" width="13.5703125" customWidth="1"/>
    <col min="3335" max="3335" width="14.7109375" customWidth="1"/>
    <col min="3585" max="3585" width="12" bestFit="1" customWidth="1"/>
    <col min="3586" max="3586" width="13.28515625" bestFit="1" customWidth="1"/>
    <col min="3587" max="3587" width="4.42578125" customWidth="1"/>
    <col min="3588" max="3590" width="13.5703125" customWidth="1"/>
    <col min="3591" max="3591" width="14.7109375" customWidth="1"/>
    <col min="3841" max="3841" width="12" bestFit="1" customWidth="1"/>
    <col min="3842" max="3842" width="13.28515625" bestFit="1" customWidth="1"/>
    <col min="3843" max="3843" width="4.42578125" customWidth="1"/>
    <col min="3844" max="3846" width="13.5703125" customWidth="1"/>
    <col min="3847" max="3847" width="14.7109375" customWidth="1"/>
    <col min="4097" max="4097" width="12" bestFit="1" customWidth="1"/>
    <col min="4098" max="4098" width="13.28515625" bestFit="1" customWidth="1"/>
    <col min="4099" max="4099" width="4.42578125" customWidth="1"/>
    <col min="4100" max="4102" width="13.5703125" customWidth="1"/>
    <col min="4103" max="4103" width="14.7109375" customWidth="1"/>
    <col min="4353" max="4353" width="12" bestFit="1" customWidth="1"/>
    <col min="4354" max="4354" width="13.28515625" bestFit="1" customWidth="1"/>
    <col min="4355" max="4355" width="4.42578125" customWidth="1"/>
    <col min="4356" max="4358" width="13.5703125" customWidth="1"/>
    <col min="4359" max="4359" width="14.7109375" customWidth="1"/>
    <col min="4609" max="4609" width="12" bestFit="1" customWidth="1"/>
    <col min="4610" max="4610" width="13.28515625" bestFit="1" customWidth="1"/>
    <col min="4611" max="4611" width="4.42578125" customWidth="1"/>
    <col min="4612" max="4614" width="13.5703125" customWidth="1"/>
    <col min="4615" max="4615" width="14.7109375" customWidth="1"/>
    <col min="4865" max="4865" width="12" bestFit="1" customWidth="1"/>
    <col min="4866" max="4866" width="13.28515625" bestFit="1" customWidth="1"/>
    <col min="4867" max="4867" width="4.42578125" customWidth="1"/>
    <col min="4868" max="4870" width="13.5703125" customWidth="1"/>
    <col min="4871" max="4871" width="14.7109375" customWidth="1"/>
    <col min="5121" max="5121" width="12" bestFit="1" customWidth="1"/>
    <col min="5122" max="5122" width="13.28515625" bestFit="1" customWidth="1"/>
    <col min="5123" max="5123" width="4.42578125" customWidth="1"/>
    <col min="5124" max="5126" width="13.5703125" customWidth="1"/>
    <col min="5127" max="5127" width="14.7109375" customWidth="1"/>
    <col min="5377" max="5377" width="12" bestFit="1" customWidth="1"/>
    <col min="5378" max="5378" width="13.28515625" bestFit="1" customWidth="1"/>
    <col min="5379" max="5379" width="4.42578125" customWidth="1"/>
    <col min="5380" max="5382" width="13.5703125" customWidth="1"/>
    <col min="5383" max="5383" width="14.7109375" customWidth="1"/>
    <col min="5633" max="5633" width="12" bestFit="1" customWidth="1"/>
    <col min="5634" max="5634" width="13.28515625" bestFit="1" customWidth="1"/>
    <col min="5635" max="5635" width="4.42578125" customWidth="1"/>
    <col min="5636" max="5638" width="13.5703125" customWidth="1"/>
    <col min="5639" max="5639" width="14.7109375" customWidth="1"/>
    <col min="5889" max="5889" width="12" bestFit="1" customWidth="1"/>
    <col min="5890" max="5890" width="13.28515625" bestFit="1" customWidth="1"/>
    <col min="5891" max="5891" width="4.42578125" customWidth="1"/>
    <col min="5892" max="5894" width="13.5703125" customWidth="1"/>
    <col min="5895" max="5895" width="14.7109375" customWidth="1"/>
    <col min="6145" max="6145" width="12" bestFit="1" customWidth="1"/>
    <col min="6146" max="6146" width="13.28515625" bestFit="1" customWidth="1"/>
    <col min="6147" max="6147" width="4.42578125" customWidth="1"/>
    <col min="6148" max="6150" width="13.5703125" customWidth="1"/>
    <col min="6151" max="6151" width="14.7109375" customWidth="1"/>
    <col min="6401" max="6401" width="12" bestFit="1" customWidth="1"/>
    <col min="6402" max="6402" width="13.28515625" bestFit="1" customWidth="1"/>
    <col min="6403" max="6403" width="4.42578125" customWidth="1"/>
    <col min="6404" max="6406" width="13.5703125" customWidth="1"/>
    <col min="6407" max="6407" width="14.7109375" customWidth="1"/>
    <col min="6657" max="6657" width="12" bestFit="1" customWidth="1"/>
    <col min="6658" max="6658" width="13.28515625" bestFit="1" customWidth="1"/>
    <col min="6659" max="6659" width="4.42578125" customWidth="1"/>
    <col min="6660" max="6662" width="13.5703125" customWidth="1"/>
    <col min="6663" max="6663" width="14.7109375" customWidth="1"/>
    <col min="6913" max="6913" width="12" bestFit="1" customWidth="1"/>
    <col min="6914" max="6914" width="13.28515625" bestFit="1" customWidth="1"/>
    <col min="6915" max="6915" width="4.42578125" customWidth="1"/>
    <col min="6916" max="6918" width="13.5703125" customWidth="1"/>
    <col min="6919" max="6919" width="14.7109375" customWidth="1"/>
    <col min="7169" max="7169" width="12" bestFit="1" customWidth="1"/>
    <col min="7170" max="7170" width="13.28515625" bestFit="1" customWidth="1"/>
    <col min="7171" max="7171" width="4.42578125" customWidth="1"/>
    <col min="7172" max="7174" width="13.5703125" customWidth="1"/>
    <col min="7175" max="7175" width="14.7109375" customWidth="1"/>
    <col min="7425" max="7425" width="12" bestFit="1" customWidth="1"/>
    <col min="7426" max="7426" width="13.28515625" bestFit="1" customWidth="1"/>
    <col min="7427" max="7427" width="4.42578125" customWidth="1"/>
    <col min="7428" max="7430" width="13.5703125" customWidth="1"/>
    <col min="7431" max="7431" width="14.7109375" customWidth="1"/>
    <col min="7681" max="7681" width="12" bestFit="1" customWidth="1"/>
    <col min="7682" max="7682" width="13.28515625" bestFit="1" customWidth="1"/>
    <col min="7683" max="7683" width="4.42578125" customWidth="1"/>
    <col min="7684" max="7686" width="13.5703125" customWidth="1"/>
    <col min="7687" max="7687" width="14.7109375" customWidth="1"/>
    <col min="7937" max="7937" width="12" bestFit="1" customWidth="1"/>
    <col min="7938" max="7938" width="13.28515625" bestFit="1" customWidth="1"/>
    <col min="7939" max="7939" width="4.42578125" customWidth="1"/>
    <col min="7940" max="7942" width="13.5703125" customWidth="1"/>
    <col min="7943" max="7943" width="14.7109375" customWidth="1"/>
    <col min="8193" max="8193" width="12" bestFit="1" customWidth="1"/>
    <col min="8194" max="8194" width="13.28515625" bestFit="1" customWidth="1"/>
    <col min="8195" max="8195" width="4.42578125" customWidth="1"/>
    <col min="8196" max="8198" width="13.5703125" customWidth="1"/>
    <col min="8199" max="8199" width="14.7109375" customWidth="1"/>
    <col min="8449" max="8449" width="12" bestFit="1" customWidth="1"/>
    <col min="8450" max="8450" width="13.28515625" bestFit="1" customWidth="1"/>
    <col min="8451" max="8451" width="4.42578125" customWidth="1"/>
    <col min="8452" max="8454" width="13.5703125" customWidth="1"/>
    <col min="8455" max="8455" width="14.7109375" customWidth="1"/>
    <col min="8705" max="8705" width="12" bestFit="1" customWidth="1"/>
    <col min="8706" max="8706" width="13.28515625" bestFit="1" customWidth="1"/>
    <col min="8707" max="8707" width="4.42578125" customWidth="1"/>
    <col min="8708" max="8710" width="13.5703125" customWidth="1"/>
    <col min="8711" max="8711" width="14.7109375" customWidth="1"/>
    <col min="8961" max="8961" width="12" bestFit="1" customWidth="1"/>
    <col min="8962" max="8962" width="13.28515625" bestFit="1" customWidth="1"/>
    <col min="8963" max="8963" width="4.42578125" customWidth="1"/>
    <col min="8964" max="8966" width="13.5703125" customWidth="1"/>
    <col min="8967" max="8967" width="14.7109375" customWidth="1"/>
    <col min="9217" max="9217" width="12" bestFit="1" customWidth="1"/>
    <col min="9218" max="9218" width="13.28515625" bestFit="1" customWidth="1"/>
    <col min="9219" max="9219" width="4.42578125" customWidth="1"/>
    <col min="9220" max="9222" width="13.5703125" customWidth="1"/>
    <col min="9223" max="9223" width="14.7109375" customWidth="1"/>
    <col min="9473" max="9473" width="12" bestFit="1" customWidth="1"/>
    <col min="9474" max="9474" width="13.28515625" bestFit="1" customWidth="1"/>
    <col min="9475" max="9475" width="4.42578125" customWidth="1"/>
    <col min="9476" max="9478" width="13.5703125" customWidth="1"/>
    <col min="9479" max="9479" width="14.7109375" customWidth="1"/>
    <col min="9729" max="9729" width="12" bestFit="1" customWidth="1"/>
    <col min="9730" max="9730" width="13.28515625" bestFit="1" customWidth="1"/>
    <col min="9731" max="9731" width="4.42578125" customWidth="1"/>
    <col min="9732" max="9734" width="13.5703125" customWidth="1"/>
    <col min="9735" max="9735" width="14.7109375" customWidth="1"/>
    <col min="9985" max="9985" width="12" bestFit="1" customWidth="1"/>
    <col min="9986" max="9986" width="13.28515625" bestFit="1" customWidth="1"/>
    <col min="9987" max="9987" width="4.42578125" customWidth="1"/>
    <col min="9988" max="9990" width="13.5703125" customWidth="1"/>
    <col min="9991" max="9991" width="14.7109375" customWidth="1"/>
    <col min="10241" max="10241" width="12" bestFit="1" customWidth="1"/>
    <col min="10242" max="10242" width="13.28515625" bestFit="1" customWidth="1"/>
    <col min="10243" max="10243" width="4.42578125" customWidth="1"/>
    <col min="10244" max="10246" width="13.5703125" customWidth="1"/>
    <col min="10247" max="10247" width="14.7109375" customWidth="1"/>
    <col min="10497" max="10497" width="12" bestFit="1" customWidth="1"/>
    <col min="10498" max="10498" width="13.28515625" bestFit="1" customWidth="1"/>
    <col min="10499" max="10499" width="4.42578125" customWidth="1"/>
    <col min="10500" max="10502" width="13.5703125" customWidth="1"/>
    <col min="10503" max="10503" width="14.7109375" customWidth="1"/>
    <col min="10753" max="10753" width="12" bestFit="1" customWidth="1"/>
    <col min="10754" max="10754" width="13.28515625" bestFit="1" customWidth="1"/>
    <col min="10755" max="10755" width="4.42578125" customWidth="1"/>
    <col min="10756" max="10758" width="13.5703125" customWidth="1"/>
    <col min="10759" max="10759" width="14.7109375" customWidth="1"/>
    <col min="11009" max="11009" width="12" bestFit="1" customWidth="1"/>
    <col min="11010" max="11010" width="13.28515625" bestFit="1" customWidth="1"/>
    <col min="11011" max="11011" width="4.42578125" customWidth="1"/>
    <col min="11012" max="11014" width="13.5703125" customWidth="1"/>
    <col min="11015" max="11015" width="14.7109375" customWidth="1"/>
    <col min="11265" max="11265" width="12" bestFit="1" customWidth="1"/>
    <col min="11266" max="11266" width="13.28515625" bestFit="1" customWidth="1"/>
    <col min="11267" max="11267" width="4.42578125" customWidth="1"/>
    <col min="11268" max="11270" width="13.5703125" customWidth="1"/>
    <col min="11271" max="11271" width="14.7109375" customWidth="1"/>
    <col min="11521" max="11521" width="12" bestFit="1" customWidth="1"/>
    <col min="11522" max="11522" width="13.28515625" bestFit="1" customWidth="1"/>
    <col min="11523" max="11523" width="4.42578125" customWidth="1"/>
    <col min="11524" max="11526" width="13.5703125" customWidth="1"/>
    <col min="11527" max="11527" width="14.7109375" customWidth="1"/>
    <col min="11777" max="11777" width="12" bestFit="1" customWidth="1"/>
    <col min="11778" max="11778" width="13.28515625" bestFit="1" customWidth="1"/>
    <col min="11779" max="11779" width="4.42578125" customWidth="1"/>
    <col min="11780" max="11782" width="13.5703125" customWidth="1"/>
    <col min="11783" max="11783" width="14.7109375" customWidth="1"/>
    <col min="12033" max="12033" width="12" bestFit="1" customWidth="1"/>
    <col min="12034" max="12034" width="13.28515625" bestFit="1" customWidth="1"/>
    <col min="12035" max="12035" width="4.42578125" customWidth="1"/>
    <col min="12036" max="12038" width="13.5703125" customWidth="1"/>
    <col min="12039" max="12039" width="14.7109375" customWidth="1"/>
    <col min="12289" max="12289" width="12" bestFit="1" customWidth="1"/>
    <col min="12290" max="12290" width="13.28515625" bestFit="1" customWidth="1"/>
    <col min="12291" max="12291" width="4.42578125" customWidth="1"/>
    <col min="12292" max="12294" width="13.5703125" customWidth="1"/>
    <col min="12295" max="12295" width="14.7109375" customWidth="1"/>
    <col min="12545" max="12545" width="12" bestFit="1" customWidth="1"/>
    <col min="12546" max="12546" width="13.28515625" bestFit="1" customWidth="1"/>
    <col min="12547" max="12547" width="4.42578125" customWidth="1"/>
    <col min="12548" max="12550" width="13.5703125" customWidth="1"/>
    <col min="12551" max="12551" width="14.7109375" customWidth="1"/>
    <col min="12801" max="12801" width="12" bestFit="1" customWidth="1"/>
    <col min="12802" max="12802" width="13.28515625" bestFit="1" customWidth="1"/>
    <col min="12803" max="12803" width="4.42578125" customWidth="1"/>
    <col min="12804" max="12806" width="13.5703125" customWidth="1"/>
    <col min="12807" max="12807" width="14.7109375" customWidth="1"/>
    <col min="13057" max="13057" width="12" bestFit="1" customWidth="1"/>
    <col min="13058" max="13058" width="13.28515625" bestFit="1" customWidth="1"/>
    <col min="13059" max="13059" width="4.42578125" customWidth="1"/>
    <col min="13060" max="13062" width="13.5703125" customWidth="1"/>
    <col min="13063" max="13063" width="14.7109375" customWidth="1"/>
    <col min="13313" max="13313" width="12" bestFit="1" customWidth="1"/>
    <col min="13314" max="13314" width="13.28515625" bestFit="1" customWidth="1"/>
    <col min="13315" max="13315" width="4.42578125" customWidth="1"/>
    <col min="13316" max="13318" width="13.5703125" customWidth="1"/>
    <col min="13319" max="13319" width="14.7109375" customWidth="1"/>
    <col min="13569" max="13569" width="12" bestFit="1" customWidth="1"/>
    <col min="13570" max="13570" width="13.28515625" bestFit="1" customWidth="1"/>
    <col min="13571" max="13571" width="4.42578125" customWidth="1"/>
    <col min="13572" max="13574" width="13.5703125" customWidth="1"/>
    <col min="13575" max="13575" width="14.7109375" customWidth="1"/>
    <col min="13825" max="13825" width="12" bestFit="1" customWidth="1"/>
    <col min="13826" max="13826" width="13.28515625" bestFit="1" customWidth="1"/>
    <col min="13827" max="13827" width="4.42578125" customWidth="1"/>
    <col min="13828" max="13830" width="13.5703125" customWidth="1"/>
    <col min="13831" max="13831" width="14.7109375" customWidth="1"/>
    <col min="14081" max="14081" width="12" bestFit="1" customWidth="1"/>
    <col min="14082" max="14082" width="13.28515625" bestFit="1" customWidth="1"/>
    <col min="14083" max="14083" width="4.42578125" customWidth="1"/>
    <col min="14084" max="14086" width="13.5703125" customWidth="1"/>
    <col min="14087" max="14087" width="14.7109375" customWidth="1"/>
    <col min="14337" max="14337" width="12" bestFit="1" customWidth="1"/>
    <col min="14338" max="14338" width="13.28515625" bestFit="1" customWidth="1"/>
    <col min="14339" max="14339" width="4.42578125" customWidth="1"/>
    <col min="14340" max="14342" width="13.5703125" customWidth="1"/>
    <col min="14343" max="14343" width="14.7109375" customWidth="1"/>
    <col min="14593" max="14593" width="12" bestFit="1" customWidth="1"/>
    <col min="14594" max="14594" width="13.28515625" bestFit="1" customWidth="1"/>
    <col min="14595" max="14595" width="4.42578125" customWidth="1"/>
    <col min="14596" max="14598" width="13.5703125" customWidth="1"/>
    <col min="14599" max="14599" width="14.7109375" customWidth="1"/>
    <col min="14849" max="14849" width="12" bestFit="1" customWidth="1"/>
    <col min="14850" max="14850" width="13.28515625" bestFit="1" customWidth="1"/>
    <col min="14851" max="14851" width="4.42578125" customWidth="1"/>
    <col min="14852" max="14854" width="13.5703125" customWidth="1"/>
    <col min="14855" max="14855" width="14.7109375" customWidth="1"/>
    <col min="15105" max="15105" width="12" bestFit="1" customWidth="1"/>
    <col min="15106" max="15106" width="13.28515625" bestFit="1" customWidth="1"/>
    <col min="15107" max="15107" width="4.42578125" customWidth="1"/>
    <col min="15108" max="15110" width="13.5703125" customWidth="1"/>
    <col min="15111" max="15111" width="14.7109375" customWidth="1"/>
    <col min="15361" max="15361" width="12" bestFit="1" customWidth="1"/>
    <col min="15362" max="15362" width="13.28515625" bestFit="1" customWidth="1"/>
    <col min="15363" max="15363" width="4.42578125" customWidth="1"/>
    <col min="15364" max="15366" width="13.5703125" customWidth="1"/>
    <col min="15367" max="15367" width="14.7109375" customWidth="1"/>
    <col min="15617" max="15617" width="12" bestFit="1" customWidth="1"/>
    <col min="15618" max="15618" width="13.28515625" bestFit="1" customWidth="1"/>
    <col min="15619" max="15619" width="4.42578125" customWidth="1"/>
    <col min="15620" max="15622" width="13.5703125" customWidth="1"/>
    <col min="15623" max="15623" width="14.7109375" customWidth="1"/>
    <col min="15873" max="15873" width="12" bestFit="1" customWidth="1"/>
    <col min="15874" max="15874" width="13.28515625" bestFit="1" customWidth="1"/>
    <col min="15875" max="15875" width="4.42578125" customWidth="1"/>
    <col min="15876" max="15878" width="13.5703125" customWidth="1"/>
    <col min="15879" max="15879" width="14.7109375" customWidth="1"/>
    <col min="16129" max="16129" width="12" bestFit="1" customWidth="1"/>
    <col min="16130" max="16130" width="13.28515625" bestFit="1" customWidth="1"/>
    <col min="16131" max="16131" width="4.42578125" customWidth="1"/>
    <col min="16132" max="16134" width="13.5703125" customWidth="1"/>
    <col min="16135" max="16135" width="14.7109375" customWidth="1"/>
  </cols>
  <sheetData>
    <row r="1" spans="1:4" ht="13.5" thickBot="1" x14ac:dyDescent="0.25">
      <c r="A1" s="30" t="s">
        <v>70</v>
      </c>
      <c r="B1" t="s">
        <v>164</v>
      </c>
      <c r="C1" t="s">
        <v>165</v>
      </c>
    </row>
    <row r="3" spans="1:4" ht="13.5" thickBot="1" x14ac:dyDescent="0.25"/>
    <row r="4" spans="1:4" ht="13.5" thickBot="1" x14ac:dyDescent="0.25">
      <c r="A4" s="31" t="s">
        <v>65</v>
      </c>
      <c r="B4" s="32">
        <v>15000</v>
      </c>
    </row>
    <row r="5" spans="1:4" ht="13.5" thickBot="1" x14ac:dyDescent="0.25">
      <c r="A5" s="31" t="s">
        <v>66</v>
      </c>
      <c r="B5" s="33">
        <v>30000</v>
      </c>
    </row>
    <row r="6" spans="1:4" ht="13.5" thickBot="1" x14ac:dyDescent="0.25">
      <c r="A6" s="31" t="s">
        <v>67</v>
      </c>
      <c r="B6" s="34">
        <v>10000</v>
      </c>
    </row>
    <row r="11" spans="1:4" x14ac:dyDescent="0.2">
      <c r="B11" t="s">
        <v>68</v>
      </c>
      <c r="C11" t="s">
        <v>142</v>
      </c>
    </row>
    <row r="12" spans="1:4" x14ac:dyDescent="0.2">
      <c r="A12" t="s">
        <v>143</v>
      </c>
      <c r="B12" s="3">
        <v>0.02</v>
      </c>
      <c r="C12" s="26">
        <f>(B$4+B$5+B$6)*B12</f>
        <v>1100</v>
      </c>
      <c r="D12" s="27"/>
    </row>
    <row r="13" spans="1:4" x14ac:dyDescent="0.2">
      <c r="A13" t="s">
        <v>144</v>
      </c>
      <c r="B13" s="3">
        <v>0.03</v>
      </c>
      <c r="C13" s="26">
        <f t="shared" ref="C13:C31" si="0">(B$4+B$5+B$6)*B13</f>
        <v>1650</v>
      </c>
    </row>
    <row r="14" spans="1:4" x14ac:dyDescent="0.2">
      <c r="A14" t="s">
        <v>145</v>
      </c>
      <c r="B14" s="3">
        <v>0.08</v>
      </c>
      <c r="C14" s="26">
        <f t="shared" si="0"/>
        <v>4400</v>
      </c>
    </row>
    <row r="15" spans="1:4" x14ac:dyDescent="0.2">
      <c r="A15" t="s">
        <v>146</v>
      </c>
      <c r="B15" s="3">
        <v>0.01</v>
      </c>
      <c r="C15" s="26">
        <f t="shared" si="0"/>
        <v>550</v>
      </c>
    </row>
    <row r="16" spans="1:4" x14ac:dyDescent="0.2">
      <c r="A16" t="s">
        <v>147</v>
      </c>
      <c r="B16" s="3">
        <v>5.0000000000000001E-3</v>
      </c>
      <c r="C16" s="26">
        <f t="shared" si="0"/>
        <v>275</v>
      </c>
    </row>
    <row r="17" spans="1:7" x14ac:dyDescent="0.2">
      <c r="A17" t="s">
        <v>148</v>
      </c>
      <c r="B17" s="3">
        <v>5.0000000000000001E-3</v>
      </c>
      <c r="C17" s="26">
        <f t="shared" si="0"/>
        <v>275</v>
      </c>
    </row>
    <row r="18" spans="1:7" x14ac:dyDescent="0.2">
      <c r="A18" t="s">
        <v>149</v>
      </c>
      <c r="B18" s="3">
        <v>0.15</v>
      </c>
      <c r="C18" s="26">
        <f t="shared" si="0"/>
        <v>8250</v>
      </c>
    </row>
    <row r="19" spans="1:7" x14ac:dyDescent="0.2">
      <c r="A19" t="s">
        <v>150</v>
      </c>
      <c r="B19" s="3">
        <v>0.18</v>
      </c>
      <c r="C19" s="26">
        <f t="shared" si="0"/>
        <v>9900</v>
      </c>
    </row>
    <row r="20" spans="1:7" x14ac:dyDescent="0.2">
      <c r="A20" t="s">
        <v>151</v>
      </c>
      <c r="B20" s="3">
        <v>0.02</v>
      </c>
      <c r="C20" s="26">
        <f t="shared" si="0"/>
        <v>1100</v>
      </c>
    </row>
    <row r="21" spans="1:7" x14ac:dyDescent="0.2">
      <c r="A21" t="s">
        <v>152</v>
      </c>
      <c r="B21" s="3">
        <v>5.6000000000000001E-2</v>
      </c>
      <c r="C21" s="26">
        <f t="shared" si="0"/>
        <v>3080</v>
      </c>
    </row>
    <row r="22" spans="1:7" x14ac:dyDescent="0.2">
      <c r="A22" s="2" t="s">
        <v>153</v>
      </c>
      <c r="B22" s="3">
        <v>0.09</v>
      </c>
      <c r="C22" s="26">
        <f t="shared" si="0"/>
        <v>4950</v>
      </c>
    </row>
    <row r="23" spans="1:7" x14ac:dyDescent="0.2">
      <c r="A23" s="2" t="s">
        <v>162</v>
      </c>
      <c r="B23" s="3">
        <v>0.01</v>
      </c>
      <c r="C23" s="26">
        <f t="shared" si="0"/>
        <v>550</v>
      </c>
    </row>
    <row r="24" spans="1:7" x14ac:dyDescent="0.2">
      <c r="A24" s="2" t="s">
        <v>154</v>
      </c>
      <c r="B24" s="3">
        <v>0.02</v>
      </c>
      <c r="C24" s="26">
        <f t="shared" si="0"/>
        <v>1100</v>
      </c>
    </row>
    <row r="25" spans="1:7" x14ac:dyDescent="0.2">
      <c r="A25" s="2" t="s">
        <v>155</v>
      </c>
      <c r="B25" s="3">
        <v>0.03</v>
      </c>
      <c r="C25" s="26">
        <f t="shared" si="0"/>
        <v>1650</v>
      </c>
    </row>
    <row r="26" spans="1:7" x14ac:dyDescent="0.2">
      <c r="A26" s="2" t="s">
        <v>156</v>
      </c>
      <c r="B26" s="3">
        <v>0.04</v>
      </c>
      <c r="C26" s="26">
        <f t="shared" si="0"/>
        <v>2200</v>
      </c>
    </row>
    <row r="27" spans="1:7" x14ac:dyDescent="0.2">
      <c r="A27" s="2" t="s">
        <v>157</v>
      </c>
      <c r="B27" s="3">
        <v>3.3000000000000002E-2</v>
      </c>
      <c r="C27" s="26">
        <f t="shared" si="0"/>
        <v>1815</v>
      </c>
    </row>
    <row r="28" spans="1:7" x14ac:dyDescent="0.2">
      <c r="A28" s="2" t="s">
        <v>158</v>
      </c>
      <c r="B28" s="3">
        <v>5.0999999999999997E-2</v>
      </c>
      <c r="C28" s="26">
        <f t="shared" si="0"/>
        <v>2805</v>
      </c>
    </row>
    <row r="29" spans="1:7" x14ac:dyDescent="0.2">
      <c r="A29" s="2" t="s">
        <v>159</v>
      </c>
      <c r="B29" s="3">
        <v>0.02</v>
      </c>
      <c r="C29" s="26">
        <f t="shared" si="0"/>
        <v>1100</v>
      </c>
    </row>
    <row r="30" spans="1:7" x14ac:dyDescent="0.2">
      <c r="A30" s="2" t="s">
        <v>160</v>
      </c>
      <c r="B30" s="3">
        <v>0.05</v>
      </c>
      <c r="C30" s="26">
        <f t="shared" si="0"/>
        <v>2750</v>
      </c>
    </row>
    <row r="31" spans="1:7" x14ac:dyDescent="0.2">
      <c r="A31" s="2" t="s">
        <v>161</v>
      </c>
      <c r="B31" s="3">
        <v>0.1</v>
      </c>
      <c r="C31" s="26">
        <f t="shared" si="0"/>
        <v>5500</v>
      </c>
      <c r="G31" s="2"/>
    </row>
    <row r="32" spans="1:7" x14ac:dyDescent="0.2">
      <c r="A32" s="2"/>
      <c r="C32" s="26"/>
    </row>
    <row r="33" spans="2:7" x14ac:dyDescent="0.2">
      <c r="B33" s="2" t="s">
        <v>69</v>
      </c>
      <c r="C33" s="26">
        <f>SUM(C12:C31)</f>
        <v>55000</v>
      </c>
      <c r="G33" s="2"/>
    </row>
    <row r="34" spans="2:7" x14ac:dyDescent="0.2">
      <c r="G34" s="2"/>
    </row>
    <row r="35" spans="2:7" x14ac:dyDescent="0.2">
      <c r="G35" s="2"/>
    </row>
  </sheetData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A8FB-E711-408C-A66D-EC4D1E2F0A57}">
  <dimension ref="B1:I28"/>
  <sheetViews>
    <sheetView topLeftCell="A12" zoomScale="175" zoomScaleNormal="175" workbookViewId="0">
      <selection activeCell="F7" sqref="F7"/>
    </sheetView>
  </sheetViews>
  <sheetFormatPr defaultRowHeight="15.75" x14ac:dyDescent="0.25"/>
  <cols>
    <col min="1" max="1" width="9.140625" style="5"/>
    <col min="2" max="2" width="6" style="5" customWidth="1"/>
    <col min="3" max="3" width="30" style="5" bestFit="1" customWidth="1"/>
    <col min="4" max="9" width="13.85546875" style="5" customWidth="1"/>
    <col min="10" max="16384" width="9.140625" style="5"/>
  </cols>
  <sheetData>
    <row r="1" spans="2:9" ht="23.25" x14ac:dyDescent="0.25">
      <c r="B1" s="4" t="s">
        <v>72</v>
      </c>
    </row>
    <row r="4" spans="2:9" x14ac:dyDescent="0.25">
      <c r="B4" s="103" t="s">
        <v>73</v>
      </c>
      <c r="C4" s="103"/>
      <c r="D4" s="6" t="s">
        <v>74</v>
      </c>
      <c r="E4" s="7" t="s">
        <v>75</v>
      </c>
      <c r="F4" s="7" t="s">
        <v>76</v>
      </c>
      <c r="G4" s="8" t="s">
        <v>77</v>
      </c>
      <c r="H4" s="8" t="s">
        <v>78</v>
      </c>
    </row>
    <row r="5" spans="2:9" x14ac:dyDescent="0.25">
      <c r="B5" s="5" t="s">
        <v>79</v>
      </c>
      <c r="D5" s="5">
        <f>COUNTIFS($D$13:$D$28,$B5,$F$13:$F$28,D$4)</f>
        <v>1</v>
      </c>
      <c r="E5" s="5">
        <f t="shared" ref="E5:F5" si="0">COUNTIFS($D$13:$D$28,$B5,$F$13:$F$28,E$4)</f>
        <v>0</v>
      </c>
      <c r="F5" s="5">
        <f t="shared" si="0"/>
        <v>1</v>
      </c>
      <c r="G5" s="5">
        <f>SUM(D5:F5)</f>
        <v>2</v>
      </c>
      <c r="H5" s="9">
        <f>G5/$G$9</f>
        <v>0.18181818181818182</v>
      </c>
    </row>
    <row r="6" spans="2:9" x14ac:dyDescent="0.25">
      <c r="B6" s="5" t="s">
        <v>80</v>
      </c>
      <c r="D6" s="5">
        <f t="shared" ref="D6:F8" si="1">COUNTIFS($D$13:$D$28,$B6,$F$13:$F$28,D$4)</f>
        <v>1</v>
      </c>
      <c r="E6" s="5">
        <f t="shared" si="1"/>
        <v>0</v>
      </c>
      <c r="F6" s="5">
        <f t="shared" si="1"/>
        <v>2</v>
      </c>
      <c r="G6" s="5">
        <f>SUM(D6:F6)</f>
        <v>3</v>
      </c>
      <c r="H6" s="9">
        <f t="shared" ref="H6:H8" si="2">G6/$G$9</f>
        <v>0.27272727272727271</v>
      </c>
    </row>
    <row r="7" spans="2:9" x14ac:dyDescent="0.25">
      <c r="B7" s="5" t="s">
        <v>81</v>
      </c>
      <c r="D7" s="5">
        <f t="shared" si="1"/>
        <v>0</v>
      </c>
      <c r="E7" s="5">
        <f t="shared" si="1"/>
        <v>0</v>
      </c>
      <c r="F7" s="5">
        <f t="shared" si="1"/>
        <v>1</v>
      </c>
      <c r="G7" s="5">
        <f>SUM(D7:F7)</f>
        <v>1</v>
      </c>
      <c r="H7" s="9">
        <f t="shared" si="2"/>
        <v>9.0909090909090912E-2</v>
      </c>
    </row>
    <row r="8" spans="2:9" x14ac:dyDescent="0.25">
      <c r="B8" s="5" t="s">
        <v>82</v>
      </c>
      <c r="D8" s="5">
        <f t="shared" si="1"/>
        <v>2</v>
      </c>
      <c r="E8" s="5">
        <f t="shared" si="1"/>
        <v>1</v>
      </c>
      <c r="F8" s="5">
        <f t="shared" si="1"/>
        <v>2</v>
      </c>
      <c r="G8" s="5">
        <f>SUM(D8:F8)</f>
        <v>5</v>
      </c>
      <c r="H8" s="9">
        <f t="shared" si="2"/>
        <v>0.45454545454545453</v>
      </c>
    </row>
    <row r="9" spans="2:9" x14ac:dyDescent="0.25">
      <c r="B9" s="10" t="s">
        <v>77</v>
      </c>
      <c r="C9" s="10"/>
      <c r="D9" s="10">
        <f>SUM(D5:D8)</f>
        <v>4</v>
      </c>
      <c r="E9" s="10">
        <f>SUM(E5:E8)</f>
        <v>1</v>
      </c>
      <c r="F9" s="10">
        <f>SUM(F5:F8)</f>
        <v>6</v>
      </c>
      <c r="G9" s="10">
        <f>SUM(D9:F9)</f>
        <v>11</v>
      </c>
      <c r="H9" s="11">
        <f>SUM(H5:H8)</f>
        <v>1</v>
      </c>
    </row>
    <row r="12" spans="2:9" x14ac:dyDescent="0.25">
      <c r="B12" s="12" t="s">
        <v>83</v>
      </c>
      <c r="C12" s="12" t="s">
        <v>84</v>
      </c>
      <c r="D12" s="12" t="s">
        <v>85</v>
      </c>
      <c r="E12" s="12" t="s">
        <v>86</v>
      </c>
      <c r="F12" s="12" t="s">
        <v>87</v>
      </c>
      <c r="G12" s="13" t="s">
        <v>88</v>
      </c>
      <c r="H12" s="12" t="s">
        <v>89</v>
      </c>
      <c r="I12" s="12" t="s">
        <v>90</v>
      </c>
    </row>
    <row r="13" spans="2:9" x14ac:dyDescent="0.25">
      <c r="B13" s="14">
        <v>1</v>
      </c>
      <c r="C13" s="15" t="s">
        <v>91</v>
      </c>
      <c r="D13" s="15" t="s">
        <v>79</v>
      </c>
      <c r="E13" s="15" t="s">
        <v>92</v>
      </c>
      <c r="F13" s="16" t="s">
        <v>93</v>
      </c>
      <c r="G13" s="17">
        <v>45306</v>
      </c>
      <c r="H13" s="17">
        <v>45311</v>
      </c>
      <c r="I13" s="18"/>
    </row>
    <row r="14" spans="2:9" x14ac:dyDescent="0.25">
      <c r="B14" s="19">
        <v>2</v>
      </c>
      <c r="C14" s="20" t="s">
        <v>94</v>
      </c>
      <c r="D14" s="16" t="s">
        <v>95</v>
      </c>
      <c r="E14" s="16" t="s">
        <v>96</v>
      </c>
      <c r="F14" s="16" t="s">
        <v>93</v>
      </c>
      <c r="G14" s="17">
        <v>45309</v>
      </c>
      <c r="H14" s="17">
        <v>45340</v>
      </c>
      <c r="I14" s="18"/>
    </row>
    <row r="15" spans="2:9" x14ac:dyDescent="0.25">
      <c r="B15" s="19">
        <v>3</v>
      </c>
      <c r="C15" s="16" t="s">
        <v>97</v>
      </c>
      <c r="D15" s="16" t="s">
        <v>79</v>
      </c>
      <c r="E15" s="16" t="s">
        <v>98</v>
      </c>
      <c r="F15" s="16" t="s">
        <v>74</v>
      </c>
      <c r="G15" s="17">
        <v>45311</v>
      </c>
      <c r="H15" s="17">
        <v>45312</v>
      </c>
      <c r="I15" s="18"/>
    </row>
    <row r="16" spans="2:9" x14ac:dyDescent="0.25">
      <c r="B16" s="19">
        <v>4</v>
      </c>
      <c r="C16" s="16" t="s">
        <v>99</v>
      </c>
      <c r="D16" s="16" t="s">
        <v>95</v>
      </c>
      <c r="E16" s="16" t="s">
        <v>100</v>
      </c>
      <c r="F16" s="16" t="s">
        <v>74</v>
      </c>
      <c r="G16" s="17">
        <v>45306</v>
      </c>
      <c r="H16" s="17">
        <v>45316</v>
      </c>
      <c r="I16" s="18"/>
    </row>
    <row r="17" spans="2:9" x14ac:dyDescent="0.25">
      <c r="B17" s="19">
        <v>5</v>
      </c>
      <c r="C17" s="16" t="s">
        <v>101</v>
      </c>
      <c r="D17" s="16" t="s">
        <v>95</v>
      </c>
      <c r="E17" s="16" t="s">
        <v>92</v>
      </c>
      <c r="F17" s="16" t="s">
        <v>75</v>
      </c>
      <c r="G17" s="17">
        <v>45294</v>
      </c>
      <c r="H17" s="17">
        <v>45325</v>
      </c>
      <c r="I17" s="18"/>
    </row>
    <row r="18" spans="2:9" x14ac:dyDescent="0.25">
      <c r="B18" s="19">
        <v>6</v>
      </c>
      <c r="C18" s="16" t="s">
        <v>102</v>
      </c>
      <c r="D18" s="16" t="s">
        <v>103</v>
      </c>
      <c r="E18" s="16" t="s">
        <v>96</v>
      </c>
      <c r="F18" s="16" t="s">
        <v>76</v>
      </c>
      <c r="G18" s="17">
        <v>45320</v>
      </c>
      <c r="H18" s="17">
        <v>45323</v>
      </c>
      <c r="I18" s="18"/>
    </row>
    <row r="19" spans="2:9" x14ac:dyDescent="0.25">
      <c r="B19" s="19">
        <v>7</v>
      </c>
      <c r="C19" s="16" t="s">
        <v>104</v>
      </c>
      <c r="D19" s="16" t="s">
        <v>80</v>
      </c>
      <c r="E19" s="16" t="s">
        <v>105</v>
      </c>
      <c r="F19" s="16" t="s">
        <v>106</v>
      </c>
      <c r="G19" s="17">
        <v>45316</v>
      </c>
      <c r="H19" s="17">
        <v>45332</v>
      </c>
      <c r="I19" s="18"/>
    </row>
    <row r="20" spans="2:9" x14ac:dyDescent="0.25">
      <c r="B20" s="19">
        <v>8</v>
      </c>
      <c r="C20" s="16" t="s">
        <v>104</v>
      </c>
      <c r="D20" s="16" t="s">
        <v>81</v>
      </c>
      <c r="E20" s="16" t="s">
        <v>92</v>
      </c>
      <c r="F20" s="16" t="s">
        <v>93</v>
      </c>
      <c r="G20" s="17">
        <v>45316</v>
      </c>
      <c r="H20" s="17">
        <v>45332</v>
      </c>
      <c r="I20" s="18"/>
    </row>
    <row r="21" spans="2:9" x14ac:dyDescent="0.25">
      <c r="B21" s="19">
        <v>9</v>
      </c>
      <c r="C21" s="16" t="s">
        <v>104</v>
      </c>
      <c r="D21" s="16" t="s">
        <v>80</v>
      </c>
      <c r="E21" s="16" t="s">
        <v>98</v>
      </c>
      <c r="F21" s="16" t="s">
        <v>93</v>
      </c>
      <c r="G21" s="17">
        <v>45306</v>
      </c>
      <c r="H21" s="17">
        <v>45347</v>
      </c>
      <c r="I21" s="18"/>
    </row>
    <row r="22" spans="2:9" x14ac:dyDescent="0.25">
      <c r="B22" s="19">
        <v>10</v>
      </c>
      <c r="C22" s="16" t="s">
        <v>107</v>
      </c>
      <c r="D22" s="16" t="s">
        <v>95</v>
      </c>
      <c r="E22" s="16" t="s">
        <v>96</v>
      </c>
      <c r="F22" s="16" t="s">
        <v>74</v>
      </c>
      <c r="G22" s="17">
        <v>45311</v>
      </c>
      <c r="H22" s="17">
        <v>45321</v>
      </c>
      <c r="I22" s="18"/>
    </row>
    <row r="23" spans="2:9" x14ac:dyDescent="0.25">
      <c r="B23" s="19">
        <v>11</v>
      </c>
      <c r="C23" s="16" t="s">
        <v>108</v>
      </c>
      <c r="D23" s="16" t="s">
        <v>95</v>
      </c>
      <c r="E23" s="16" t="s">
        <v>92</v>
      </c>
      <c r="F23" s="16" t="s">
        <v>93</v>
      </c>
      <c r="G23" s="17">
        <v>45318</v>
      </c>
      <c r="H23" s="17">
        <v>45318</v>
      </c>
      <c r="I23" s="18"/>
    </row>
    <row r="24" spans="2:9" x14ac:dyDescent="0.25">
      <c r="B24" s="19">
        <v>12</v>
      </c>
      <c r="C24" s="16"/>
      <c r="D24" s="16"/>
      <c r="E24" s="16"/>
      <c r="F24" s="16"/>
      <c r="G24" s="21"/>
      <c r="H24" s="21"/>
      <c r="I24" s="22"/>
    </row>
    <row r="25" spans="2:9" x14ac:dyDescent="0.25">
      <c r="B25" s="19">
        <v>13</v>
      </c>
      <c r="C25" s="16"/>
      <c r="D25" s="16"/>
      <c r="E25" s="16"/>
      <c r="F25" s="16"/>
      <c r="G25" s="21"/>
      <c r="H25" s="21"/>
      <c r="I25" s="22"/>
    </row>
    <row r="26" spans="2:9" x14ac:dyDescent="0.25">
      <c r="B26" s="19">
        <v>14</v>
      </c>
      <c r="C26" s="16"/>
      <c r="D26" s="16"/>
      <c r="E26" s="16"/>
      <c r="F26" s="16"/>
      <c r="G26" s="21"/>
      <c r="H26" s="21"/>
      <c r="I26" s="22"/>
    </row>
    <row r="27" spans="2:9" x14ac:dyDescent="0.25">
      <c r="B27" s="19">
        <v>15</v>
      </c>
      <c r="C27" s="16"/>
      <c r="D27" s="16"/>
      <c r="E27" s="16"/>
      <c r="F27" s="16"/>
      <c r="G27" s="21"/>
      <c r="H27" s="21"/>
      <c r="I27" s="22"/>
    </row>
    <row r="28" spans="2:9" x14ac:dyDescent="0.25">
      <c r="B28" s="23"/>
      <c r="C28" s="23"/>
      <c r="D28" s="23"/>
      <c r="E28" s="23"/>
      <c r="F28" s="23"/>
      <c r="G28" s="24"/>
      <c r="H28" s="24"/>
      <c r="I28" s="25"/>
    </row>
  </sheetData>
  <mergeCells count="1">
    <mergeCell ref="B4:C4"/>
  </mergeCells>
  <conditionalFormatting sqref="D4:F4">
    <cfRule type="cellIs" dxfId="2" priority="1" operator="equal">
      <formula>"baixo"</formula>
    </cfRule>
    <cfRule type="cellIs" dxfId="1" priority="2" operator="equal">
      <formula>"alto"</formula>
    </cfRule>
    <cfRule type="cellIs" dxfId="0" priority="3" operator="equal">
      <formula>"médio"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D603A9-BF42-4353-AC97-64C4DDF212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Tabela de Conversão</vt:lpstr>
      <vt:lpstr>Comparação de Vendas</vt:lpstr>
      <vt:lpstr>Tropical Frutas</vt:lpstr>
      <vt:lpstr>COOPERATIVA</vt:lpstr>
      <vt:lpstr>RISCOS EM PROJETO</vt:lpstr>
      <vt:lpstr>qtde</vt:lpstr>
    </vt:vector>
  </TitlesOfParts>
  <Company>SENAC_BA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Senac Bahia</dc:creator>
  <cp:lastModifiedBy>Joao Arthur da Silva Carvalho</cp:lastModifiedBy>
  <cp:lastPrinted>2025-12-10T19:22:52Z</cp:lastPrinted>
  <dcterms:created xsi:type="dcterms:W3CDTF">2008-11-06T17:25:08Z</dcterms:created>
  <dcterms:modified xsi:type="dcterms:W3CDTF">2026-01-07T19:11:34Z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312f9-13a0-45d4-912b-e58870795025_Enabled">
    <vt:lpwstr>true</vt:lpwstr>
  </property>
  <property fmtid="{D5CDD505-2E9C-101B-9397-08002B2CF9AE}" pid="3" name="MSIP_Label_8cb312f9-13a0-45d4-912b-e58870795025_SetDate">
    <vt:lpwstr>2023-03-03T17:49:00Z</vt:lpwstr>
  </property>
  <property fmtid="{D5CDD505-2E9C-101B-9397-08002B2CF9AE}" pid="4" name="MSIP_Label_8cb312f9-13a0-45d4-912b-e58870795025_Method">
    <vt:lpwstr>Standard</vt:lpwstr>
  </property>
  <property fmtid="{D5CDD505-2E9C-101B-9397-08002B2CF9AE}" pid="5" name="MSIP_Label_8cb312f9-13a0-45d4-912b-e58870795025_Name">
    <vt:lpwstr>defa4170-0d19-0005-0004-bc88714345d2</vt:lpwstr>
  </property>
  <property fmtid="{D5CDD505-2E9C-101B-9397-08002B2CF9AE}" pid="6" name="MSIP_Label_8cb312f9-13a0-45d4-912b-e58870795025_SiteId">
    <vt:lpwstr>74c618f9-b1b7-4296-9eff-64106c1530c4</vt:lpwstr>
  </property>
  <property fmtid="{D5CDD505-2E9C-101B-9397-08002B2CF9AE}" pid="7" name="MSIP_Label_8cb312f9-13a0-45d4-912b-e58870795025_ActionId">
    <vt:lpwstr>624de0c7-e760-40e0-91e7-47c9470b9542</vt:lpwstr>
  </property>
  <property fmtid="{D5CDD505-2E9C-101B-9397-08002B2CF9AE}" pid="8" name="MSIP_Label_8cb312f9-13a0-45d4-912b-e58870795025_ContentBits">
    <vt:lpwstr>0</vt:lpwstr>
  </property>
</Properties>
</file>